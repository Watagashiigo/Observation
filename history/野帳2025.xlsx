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\Documents\講義2017済\2023講義●●●\2025観測実習大学院\"/>
    </mc:Choice>
  </mc:AlternateContent>
  <xr:revisionPtr revIDLastSave="0" documentId="13_ncr:1_{FC35A47C-444D-4053-B4DF-CF651C1D8CF0}" xr6:coauthVersionLast="47" xr6:coauthVersionMax="47" xr10:uidLastSave="{00000000-0000-0000-0000-000000000000}"/>
  <bookViews>
    <workbookView xWindow="3285" yWindow="1590" windowWidth="25245" windowHeight="15210" activeTab="1" xr2:uid="{9582F917-B930-4DE5-B64C-EFC7E04DE935}"/>
  </bookViews>
  <sheets>
    <sheet name="2025Hakone" sheetId="3" r:id="rId1"/>
    <sheet name="2025Regina" sheetId="1" r:id="rId2"/>
    <sheet name="Sheet2" sheetId="2" r:id="rId3"/>
  </sheets>
  <definedNames>
    <definedName name="_xlnm.Print_Area" localSheetId="2">Sheet2!$C$4:$K$49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3" l="1"/>
  <c r="G17" i="3"/>
  <c r="G18" i="3"/>
  <c r="G19" i="3"/>
  <c r="G20" i="3"/>
  <c r="G21" i="3"/>
  <c r="G22" i="3"/>
  <c r="G23" i="3"/>
  <c r="G24" i="3"/>
  <c r="G25" i="3"/>
  <c r="G26" i="3"/>
  <c r="G27" i="3"/>
  <c r="G28" i="3"/>
  <c r="G15" i="3"/>
  <c r="C17" i="3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6" i="3"/>
  <c r="F143" i="3"/>
  <c r="G143" i="3" s="1"/>
  <c r="G142" i="3"/>
  <c r="F142" i="3"/>
  <c r="F141" i="3"/>
  <c r="G141" i="3" s="1"/>
  <c r="F140" i="3"/>
  <c r="G140" i="3" s="1"/>
  <c r="F139" i="3"/>
  <c r="G139" i="3" s="1"/>
  <c r="F138" i="3"/>
  <c r="G138" i="3" s="1"/>
  <c r="G137" i="3"/>
  <c r="F137" i="3"/>
  <c r="F136" i="3"/>
  <c r="G136" i="3" s="1"/>
  <c r="F135" i="3"/>
  <c r="G135" i="3" s="1"/>
  <c r="G134" i="3"/>
  <c r="F134" i="3"/>
  <c r="F133" i="3"/>
  <c r="G133" i="3" s="1"/>
  <c r="F132" i="3"/>
  <c r="G132" i="3" s="1"/>
  <c r="F131" i="3"/>
  <c r="G131" i="3" s="1"/>
  <c r="F130" i="3"/>
  <c r="G130" i="3" s="1"/>
  <c r="F129" i="3"/>
  <c r="G129" i="3" s="1"/>
  <c r="F128" i="3"/>
  <c r="G128" i="3" s="1"/>
  <c r="F127" i="3"/>
  <c r="G127" i="3" s="1"/>
  <c r="F126" i="3"/>
  <c r="G126" i="3" s="1"/>
  <c r="F125" i="3"/>
  <c r="G125" i="3" s="1"/>
  <c r="F124" i="3"/>
  <c r="G124" i="3" s="1"/>
  <c r="F123" i="3"/>
  <c r="G123" i="3" s="1"/>
  <c r="F122" i="3"/>
  <c r="G122" i="3" s="1"/>
  <c r="F121" i="3"/>
  <c r="G121" i="3" s="1"/>
  <c r="F120" i="3"/>
  <c r="G120" i="3" s="1"/>
  <c r="F119" i="3"/>
  <c r="G119" i="3" s="1"/>
  <c r="F118" i="3"/>
  <c r="G118" i="3" s="1"/>
  <c r="F117" i="3"/>
  <c r="G117" i="3" s="1"/>
  <c r="F116" i="3"/>
  <c r="G116" i="3" s="1"/>
  <c r="F115" i="3"/>
  <c r="G115" i="3" s="1"/>
  <c r="F114" i="3"/>
  <c r="G114" i="3" s="1"/>
  <c r="F113" i="3"/>
  <c r="G113" i="3" s="1"/>
  <c r="G112" i="3"/>
  <c r="F112" i="3"/>
  <c r="F111" i="3"/>
  <c r="G111" i="3" s="1"/>
  <c r="F110" i="3"/>
  <c r="G110" i="3" s="1"/>
  <c r="F109" i="3"/>
  <c r="G109" i="3" s="1"/>
  <c r="F108" i="3"/>
  <c r="G108" i="3" s="1"/>
  <c r="F107" i="3"/>
  <c r="G107" i="3" s="1"/>
  <c r="F106" i="3"/>
  <c r="G106" i="3" s="1"/>
  <c r="F105" i="3"/>
  <c r="G105" i="3" s="1"/>
  <c r="G104" i="3"/>
  <c r="F104" i="3"/>
  <c r="F103" i="3"/>
  <c r="G103" i="3" s="1"/>
  <c r="G101" i="3"/>
  <c r="F101" i="3"/>
  <c r="F100" i="3"/>
  <c r="G100" i="3" s="1"/>
  <c r="F99" i="3"/>
  <c r="G99" i="3" s="1"/>
  <c r="F98" i="3"/>
  <c r="G98" i="3" s="1"/>
  <c r="F97" i="3"/>
  <c r="G97" i="3" s="1"/>
  <c r="F96" i="3"/>
  <c r="G96" i="3" s="1"/>
  <c r="F95" i="3"/>
  <c r="G95" i="3" s="1"/>
  <c r="G94" i="3"/>
  <c r="F94" i="3"/>
  <c r="F93" i="3"/>
  <c r="G93" i="3" s="1"/>
  <c r="F92" i="3"/>
  <c r="G92" i="3" s="1"/>
  <c r="F91" i="3"/>
  <c r="G91" i="3" s="1"/>
  <c r="F90" i="3"/>
  <c r="G90" i="3" s="1"/>
  <c r="F89" i="3"/>
  <c r="G89" i="3" s="1"/>
  <c r="F88" i="3"/>
  <c r="G88" i="3" s="1"/>
  <c r="F87" i="3"/>
  <c r="G87" i="3" s="1"/>
  <c r="G86" i="3"/>
  <c r="F86" i="3"/>
  <c r="F85" i="3"/>
  <c r="G85" i="3" s="1"/>
  <c r="F84" i="3"/>
  <c r="G84" i="3" s="1"/>
  <c r="F83" i="3"/>
  <c r="G83" i="3" s="1"/>
  <c r="F82" i="3"/>
  <c r="G82" i="3" s="1"/>
  <c r="F81" i="3"/>
  <c r="G81" i="3" s="1"/>
  <c r="F80" i="3"/>
  <c r="G80" i="3" s="1"/>
  <c r="F79" i="3"/>
  <c r="G79" i="3" s="1"/>
  <c r="G78" i="3"/>
  <c r="F78" i="3"/>
  <c r="F77" i="3"/>
  <c r="G77" i="3" s="1"/>
  <c r="F76" i="3"/>
  <c r="G76" i="3" s="1"/>
  <c r="F75" i="3"/>
  <c r="G75" i="3" s="1"/>
  <c r="F74" i="3"/>
  <c r="G74" i="3" s="1"/>
  <c r="G73" i="3"/>
  <c r="F73" i="3"/>
  <c r="F72" i="3"/>
  <c r="G72" i="3" s="1"/>
  <c r="F71" i="3"/>
  <c r="G71" i="3" s="1"/>
  <c r="F70" i="3"/>
  <c r="G70" i="3" s="1"/>
  <c r="F69" i="3"/>
  <c r="G69" i="3" s="1"/>
  <c r="F68" i="3"/>
  <c r="G68" i="3" s="1"/>
  <c r="F67" i="3"/>
  <c r="G67" i="3" s="1"/>
  <c r="F66" i="3"/>
  <c r="G66" i="3" s="1"/>
  <c r="F65" i="3"/>
  <c r="G65" i="3" s="1"/>
  <c r="F64" i="3"/>
  <c r="G64" i="3" s="1"/>
  <c r="F63" i="3"/>
  <c r="G63" i="3" s="1"/>
  <c r="F62" i="3"/>
  <c r="G62" i="3" s="1"/>
  <c r="F61" i="3"/>
  <c r="G61" i="3" s="1"/>
  <c r="F60" i="3"/>
  <c r="G60" i="3" s="1"/>
  <c r="F59" i="3"/>
  <c r="G59" i="3" s="1"/>
  <c r="F58" i="3"/>
  <c r="G58" i="3" s="1"/>
  <c r="F57" i="3"/>
  <c r="G57" i="3" s="1"/>
  <c r="F56" i="3"/>
  <c r="G56" i="3" s="1"/>
  <c r="F55" i="3"/>
  <c r="G55" i="3" s="1"/>
  <c r="F54" i="3"/>
  <c r="G54" i="3" s="1"/>
  <c r="F53" i="3"/>
  <c r="G53" i="3" s="1"/>
  <c r="F52" i="3"/>
  <c r="G52" i="3" s="1"/>
  <c r="F51" i="3"/>
  <c r="G51" i="3" s="1"/>
  <c r="F50" i="3"/>
  <c r="G50" i="3" s="1"/>
  <c r="F49" i="3"/>
  <c r="G49" i="3" s="1"/>
  <c r="F48" i="3"/>
  <c r="G48" i="3" s="1"/>
  <c r="F47" i="3"/>
  <c r="G47" i="3" s="1"/>
  <c r="F46" i="3"/>
  <c r="G46" i="3" s="1"/>
  <c r="F45" i="3"/>
  <c r="G45" i="3" s="1"/>
  <c r="F44" i="3"/>
  <c r="G44" i="3" s="1"/>
  <c r="F43" i="3"/>
  <c r="G43" i="3" s="1"/>
  <c r="F42" i="3"/>
  <c r="G42" i="3" s="1"/>
  <c r="F41" i="3"/>
  <c r="G41" i="3" s="1"/>
  <c r="F40" i="3"/>
  <c r="G40" i="3" s="1"/>
  <c r="F39" i="3"/>
  <c r="G39" i="3" s="1"/>
  <c r="F38" i="3"/>
  <c r="G38" i="3" s="1"/>
  <c r="F37" i="3"/>
  <c r="G37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F30" i="3"/>
  <c r="G30" i="3" s="1"/>
  <c r="F29" i="3"/>
  <c r="G29" i="3" s="1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D15" i="3"/>
  <c r="E11" i="3"/>
  <c r="D15" i="1"/>
  <c r="C16" i="1"/>
  <c r="D16" i="1" s="1"/>
  <c r="E11" i="1"/>
  <c r="F103" i="1"/>
  <c r="G103" i="1"/>
  <c r="F104" i="1"/>
  <c r="G104" i="1"/>
  <c r="F105" i="1"/>
  <c r="G105" i="1"/>
  <c r="F106" i="1"/>
  <c r="G106" i="1" s="1"/>
  <c r="F107" i="1"/>
  <c r="G107" i="1" s="1"/>
  <c r="F108" i="1"/>
  <c r="G108" i="1" s="1"/>
  <c r="F109" i="1"/>
  <c r="G109" i="1"/>
  <c r="F110" i="1"/>
  <c r="G110" i="1" s="1"/>
  <c r="F111" i="1"/>
  <c r="G111" i="1"/>
  <c r="F112" i="1"/>
  <c r="G112" i="1" s="1"/>
  <c r="F113" i="1"/>
  <c r="G113" i="1"/>
  <c r="F114" i="1"/>
  <c r="G114" i="1"/>
  <c r="F115" i="1"/>
  <c r="G115" i="1" s="1"/>
  <c r="F116" i="1"/>
  <c r="G116" i="1" s="1"/>
  <c r="F117" i="1"/>
  <c r="G117" i="1" s="1"/>
  <c r="F118" i="1"/>
  <c r="G118" i="1" s="1"/>
  <c r="F119" i="1"/>
  <c r="G119" i="1"/>
  <c r="F120" i="1"/>
  <c r="G120" i="1" s="1"/>
  <c r="F121" i="1"/>
  <c r="G121" i="1" s="1"/>
  <c r="F122" i="1"/>
  <c r="G122" i="1"/>
  <c r="F123" i="1"/>
  <c r="G123" i="1" s="1"/>
  <c r="F124" i="1"/>
  <c r="G124" i="1" s="1"/>
  <c r="F125" i="1"/>
  <c r="G125" i="1"/>
  <c r="F126" i="1"/>
  <c r="G126" i="1" s="1"/>
  <c r="F127" i="1"/>
  <c r="G127" i="1"/>
  <c r="F128" i="1"/>
  <c r="G128" i="1" s="1"/>
  <c r="F129" i="1"/>
  <c r="G129" i="1" s="1"/>
  <c r="F130" i="1"/>
  <c r="G130" i="1"/>
  <c r="F131" i="1"/>
  <c r="G131" i="1" s="1"/>
  <c r="F132" i="1"/>
  <c r="G132" i="1" s="1"/>
  <c r="F133" i="1"/>
  <c r="G133" i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/>
  <c r="F101" i="1"/>
  <c r="G101" i="1" s="1"/>
  <c r="F100" i="1"/>
  <c r="G100" i="1" s="1"/>
  <c r="F99" i="1"/>
  <c r="G99" i="1" s="1"/>
  <c r="F88" i="1"/>
  <c r="G88" i="1" s="1"/>
  <c r="F89" i="1"/>
  <c r="G89" i="1" s="1"/>
  <c r="F90" i="1"/>
  <c r="G90" i="1" s="1"/>
  <c r="F91" i="1"/>
  <c r="G91" i="1"/>
  <c r="F92" i="1"/>
  <c r="G92" i="1" s="1"/>
  <c r="F93" i="1"/>
  <c r="G93" i="1" s="1"/>
  <c r="F94" i="1"/>
  <c r="G94" i="1" s="1"/>
  <c r="F95" i="1"/>
  <c r="G95" i="1"/>
  <c r="F96" i="1"/>
  <c r="G96" i="1" s="1"/>
  <c r="F97" i="1"/>
  <c r="G97" i="1" s="1"/>
  <c r="F98" i="1"/>
  <c r="G98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/>
  <c r="F84" i="1"/>
  <c r="G84" i="1"/>
  <c r="F85" i="1"/>
  <c r="G85" i="1" s="1"/>
  <c r="F86" i="1"/>
  <c r="G86" i="1" s="1"/>
  <c r="F87" i="1"/>
  <c r="G87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60" i="1"/>
  <c r="G60" i="1" s="1"/>
  <c r="F59" i="1"/>
  <c r="G59" i="1"/>
  <c r="F58" i="1"/>
  <c r="G58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15" i="1"/>
  <c r="G15" i="1" s="1"/>
  <c r="D16" i="3" l="1"/>
  <c r="C17" i="1"/>
  <c r="D17" i="3" l="1"/>
  <c r="C18" i="1"/>
  <c r="D17" i="1"/>
  <c r="D18" i="3" l="1"/>
  <c r="C19" i="1"/>
  <c r="D18" i="1"/>
  <c r="D19" i="3" l="1"/>
  <c r="C20" i="1"/>
  <c r="D19" i="1"/>
  <c r="D20" i="3" l="1"/>
  <c r="C21" i="1"/>
  <c r="D20" i="1"/>
  <c r="D21" i="3" l="1"/>
  <c r="C22" i="1"/>
  <c r="D21" i="1"/>
  <c r="D22" i="3" l="1"/>
  <c r="C23" i="1"/>
  <c r="D22" i="1"/>
  <c r="D23" i="3" l="1"/>
  <c r="C24" i="1"/>
  <c r="D23" i="1"/>
  <c r="D24" i="3" l="1"/>
  <c r="C25" i="1"/>
  <c r="D24" i="1"/>
  <c r="D25" i="3" l="1"/>
  <c r="C26" i="1"/>
  <c r="D25" i="1"/>
  <c r="D26" i="3" l="1"/>
  <c r="C27" i="1"/>
  <c r="D26" i="1"/>
  <c r="D27" i="3" l="1"/>
  <c r="C28" i="1"/>
  <c r="D27" i="1"/>
  <c r="D28" i="3" l="1"/>
  <c r="C29" i="1"/>
  <c r="D28" i="1"/>
  <c r="D29" i="3" l="1"/>
  <c r="C30" i="1"/>
  <c r="D29" i="1"/>
  <c r="D30" i="3" l="1"/>
  <c r="C31" i="1"/>
  <c r="D30" i="1"/>
  <c r="D31" i="3" l="1"/>
  <c r="C32" i="1"/>
  <c r="D31" i="1"/>
  <c r="D32" i="3" l="1"/>
  <c r="C33" i="1"/>
  <c r="D32" i="1"/>
  <c r="D33" i="3" l="1"/>
  <c r="C34" i="1"/>
  <c r="D33" i="1"/>
  <c r="D34" i="3" l="1"/>
  <c r="C35" i="1"/>
  <c r="D34" i="1"/>
  <c r="D35" i="3" l="1"/>
  <c r="C36" i="1"/>
  <c r="D35" i="1"/>
  <c r="D36" i="3" l="1"/>
  <c r="C37" i="1"/>
  <c r="D36" i="1"/>
  <c r="D37" i="3" l="1"/>
  <c r="C38" i="1"/>
  <c r="D37" i="1"/>
  <c r="D38" i="3" l="1"/>
  <c r="C39" i="1"/>
  <c r="D38" i="1"/>
  <c r="D39" i="3" l="1"/>
  <c r="C40" i="1"/>
  <c r="D39" i="1"/>
  <c r="D40" i="3" l="1"/>
  <c r="C41" i="1"/>
  <c r="D40" i="1"/>
  <c r="D41" i="3" l="1"/>
  <c r="C42" i="1"/>
  <c r="D41" i="1"/>
  <c r="D42" i="3" l="1"/>
  <c r="C43" i="1"/>
  <c r="D42" i="1"/>
  <c r="D43" i="3" l="1"/>
  <c r="C44" i="1"/>
  <c r="D43" i="1"/>
  <c r="D44" i="3" l="1"/>
  <c r="C45" i="1"/>
  <c r="D44" i="1"/>
  <c r="D45" i="3" l="1"/>
  <c r="C46" i="1"/>
  <c r="D45" i="1"/>
  <c r="D46" i="3" l="1"/>
  <c r="C47" i="1"/>
  <c r="D46" i="1"/>
  <c r="D47" i="3" l="1"/>
  <c r="C48" i="1"/>
  <c r="D47" i="1"/>
  <c r="D48" i="3" l="1"/>
  <c r="C49" i="1"/>
  <c r="D48" i="1"/>
  <c r="D49" i="3" l="1"/>
  <c r="C50" i="1"/>
  <c r="D49" i="1"/>
  <c r="D50" i="3" l="1"/>
  <c r="C51" i="1"/>
  <c r="D50" i="1"/>
  <c r="D51" i="3" l="1"/>
  <c r="C52" i="1"/>
  <c r="D51" i="1"/>
  <c r="D52" i="3" l="1"/>
  <c r="C53" i="1"/>
  <c r="D52" i="1"/>
  <c r="D53" i="3" l="1"/>
  <c r="C54" i="1"/>
  <c r="D53" i="1"/>
  <c r="D54" i="3" l="1"/>
  <c r="C55" i="1"/>
  <c r="D54" i="1"/>
  <c r="D55" i="3" l="1"/>
  <c r="C56" i="1"/>
  <c r="D55" i="1"/>
  <c r="D56" i="3" l="1"/>
  <c r="C57" i="1"/>
  <c r="D56" i="1"/>
  <c r="D57" i="3" l="1"/>
  <c r="C58" i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D57" i="1"/>
</calcChain>
</file>

<file path=xl/sharedStrings.xml><?xml version="1.0" encoding="utf-8"?>
<sst xmlns="http://schemas.openxmlformats.org/spreadsheetml/2006/main" count="44" uniqueCount="19">
  <si>
    <t>抵抗値Ω</t>
    <rPh sb="0" eb="3">
      <t>テイコウチ</t>
    </rPh>
    <phoneticPr fontId="1"/>
  </si>
  <si>
    <t>温度℃</t>
    <rPh sb="0" eb="2">
      <t>オンド</t>
    </rPh>
    <phoneticPr fontId="1"/>
  </si>
  <si>
    <t>銅線抵抗値Ω</t>
    <rPh sb="0" eb="2">
      <t>ドウセン</t>
    </rPh>
    <rPh sb="2" eb="5">
      <t>テイコウチ</t>
    </rPh>
    <phoneticPr fontId="1"/>
  </si>
  <si>
    <t>深度</t>
    <rPh sb="0" eb="2">
      <t>シンド</t>
    </rPh>
    <phoneticPr fontId="1"/>
  </si>
  <si>
    <t>時刻</t>
    <rPh sb="0" eb="2">
      <t>ジコク</t>
    </rPh>
    <phoneticPr fontId="1"/>
  </si>
  <si>
    <t>係数a</t>
    <rPh sb="0" eb="2">
      <t>ケイスウ</t>
    </rPh>
    <phoneticPr fontId="1"/>
  </si>
  <si>
    <t>係数b</t>
    <rPh sb="0" eb="2">
      <t>ケイスウ</t>
    </rPh>
    <phoneticPr fontId="1"/>
  </si>
  <si>
    <t>係数c</t>
    <rPh sb="0" eb="2">
      <t>ケイスウ</t>
    </rPh>
    <phoneticPr fontId="1"/>
  </si>
  <si>
    <t>式： 1/T = a + b(logR) + c(logR)^3</t>
    <rPh sb="0" eb="1">
      <t>シキ</t>
    </rPh>
    <phoneticPr fontId="1"/>
  </si>
  <si>
    <t>LN</t>
    <phoneticPr fontId="1"/>
  </si>
  <si>
    <t>log10</t>
    <phoneticPr fontId="1"/>
  </si>
  <si>
    <t>メジャー深度</t>
    <rPh sb="4" eb="6">
      <t>シンド</t>
    </rPh>
    <phoneticPr fontId="1"/>
  </si>
  <si>
    <t>地面からの深度</t>
    <rPh sb="0" eb="2">
      <t>ジメン</t>
    </rPh>
    <rPh sb="5" eb="7">
      <t>シンド</t>
    </rPh>
    <phoneticPr fontId="1"/>
  </si>
  <si>
    <t>井戸口とFNDの高さ</t>
    <rPh sb="0" eb="3">
      <t>イドクチ</t>
    </rPh>
    <rPh sb="8" eb="9">
      <t>タカ</t>
    </rPh>
    <phoneticPr fontId="1"/>
  </si>
  <si>
    <t>センサーとメジャー０の距離</t>
    <rPh sb="11" eb="13">
      <t>キョリ</t>
    </rPh>
    <phoneticPr fontId="1"/>
  </si>
  <si>
    <t>D</t>
    <phoneticPr fontId="1"/>
  </si>
  <si>
    <t>L</t>
    <phoneticPr fontId="1"/>
  </si>
  <si>
    <t>補正値</t>
    <rPh sb="0" eb="3">
      <t>ホセイチ</t>
    </rPh>
    <phoneticPr fontId="1"/>
  </si>
  <si>
    <t>L-D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</si>
</sst>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2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0" fillId="0" borderId="1" xfId="0" applyBorder="1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'2025Hakone'!$G$14</c:f>
              <c:strCache>
                <c:ptCount val="1"/>
                <c:pt idx="0">
                  <c:v>温度℃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'2025Hakone'!$C$15:$C$142</c:f>
              <c:numCache>
                <c:formatCode>General</c:formatCode>
                <c:ptCount val="12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</c:numCache>
            </c:numRef>
          </c:xVal>
          <c:yVal>
            <c:numRef>
              <c:f>'2025Hakone'!$G$15:$G$142</c:f>
              <c:numCache>
                <c:formatCode>General</c:formatCode>
                <c:ptCount val="128"/>
                <c:pt idx="0">
                  <c:v>23.372145074089872</c:v>
                </c:pt>
                <c:pt idx="1">
                  <c:v>20.190743689518456</c:v>
                </c:pt>
                <c:pt idx="2">
                  <c:v>21.671667962230117</c:v>
                </c:pt>
                <c:pt idx="3">
                  <c:v>23.248912765738567</c:v>
                </c:pt>
                <c:pt idx="4">
                  <c:v>25.018903641787801</c:v>
                </c:pt>
                <c:pt idx="5">
                  <c:v>26.863768624695297</c:v>
                </c:pt>
                <c:pt idx="6">
                  <c:v>28.998538163438241</c:v>
                </c:pt>
                <c:pt idx="7">
                  <c:v>30.529017827847554</c:v>
                </c:pt>
                <c:pt idx="8">
                  <c:v>32.483847103180665</c:v>
                </c:pt>
                <c:pt idx="9">
                  <c:v>35.408236341488987</c:v>
                </c:pt>
                <c:pt idx="10">
                  <c:v>36.645467736045305</c:v>
                </c:pt>
                <c:pt idx="11">
                  <c:v>38.094943485930344</c:v>
                </c:pt>
                <c:pt idx="12">
                  <c:v>38.527958434188804</c:v>
                </c:pt>
                <c:pt idx="13">
                  <c:v>39.022230539000191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11-4CA1-AA8C-1F321A890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199135"/>
        <c:axId val="582198175"/>
      </c:scatterChart>
      <c:valAx>
        <c:axId val="582199135"/>
        <c:scaling>
          <c:orientation val="minMax"/>
          <c:max val="1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2198175"/>
        <c:crosses val="autoZero"/>
        <c:crossBetween val="midCat"/>
      </c:valAx>
      <c:valAx>
        <c:axId val="5821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219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'2025Regina'!$G$14</c:f>
              <c:strCache>
                <c:ptCount val="1"/>
                <c:pt idx="0">
                  <c:v>温度℃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'2025Regina'!$C$15:$C$142</c:f>
              <c:numCache>
                <c:formatCode>General</c:formatCode>
                <c:ptCount val="128"/>
                <c:pt idx="0">
                  <c:v>34</c:v>
                </c:pt>
                <c:pt idx="1">
                  <c:v>36</c:v>
                </c:pt>
                <c:pt idx="2">
                  <c:v>38</c:v>
                </c:pt>
                <c:pt idx="3">
                  <c:v>40</c:v>
                </c:pt>
                <c:pt idx="4">
                  <c:v>42</c:v>
                </c:pt>
                <c:pt idx="5">
                  <c:v>44</c:v>
                </c:pt>
                <c:pt idx="6">
                  <c:v>46</c:v>
                </c:pt>
                <c:pt idx="7">
                  <c:v>48</c:v>
                </c:pt>
                <c:pt idx="8">
                  <c:v>50</c:v>
                </c:pt>
                <c:pt idx="9">
                  <c:v>52</c:v>
                </c:pt>
                <c:pt idx="10">
                  <c:v>54</c:v>
                </c:pt>
                <c:pt idx="11">
                  <c:v>56</c:v>
                </c:pt>
                <c:pt idx="12">
                  <c:v>58</c:v>
                </c:pt>
                <c:pt idx="13">
                  <c:v>60</c:v>
                </c:pt>
                <c:pt idx="14">
                  <c:v>62</c:v>
                </c:pt>
                <c:pt idx="15">
                  <c:v>64</c:v>
                </c:pt>
                <c:pt idx="16">
                  <c:v>66</c:v>
                </c:pt>
                <c:pt idx="17">
                  <c:v>68</c:v>
                </c:pt>
                <c:pt idx="18">
                  <c:v>70</c:v>
                </c:pt>
                <c:pt idx="19">
                  <c:v>72</c:v>
                </c:pt>
                <c:pt idx="20">
                  <c:v>74</c:v>
                </c:pt>
                <c:pt idx="21">
                  <c:v>76</c:v>
                </c:pt>
                <c:pt idx="22">
                  <c:v>78</c:v>
                </c:pt>
                <c:pt idx="23">
                  <c:v>80</c:v>
                </c:pt>
                <c:pt idx="24">
                  <c:v>82</c:v>
                </c:pt>
                <c:pt idx="25">
                  <c:v>84</c:v>
                </c:pt>
                <c:pt idx="26">
                  <c:v>86</c:v>
                </c:pt>
                <c:pt idx="27">
                  <c:v>88</c:v>
                </c:pt>
                <c:pt idx="28">
                  <c:v>90</c:v>
                </c:pt>
                <c:pt idx="29">
                  <c:v>92</c:v>
                </c:pt>
                <c:pt idx="30">
                  <c:v>94</c:v>
                </c:pt>
                <c:pt idx="31">
                  <c:v>96</c:v>
                </c:pt>
                <c:pt idx="32">
                  <c:v>98</c:v>
                </c:pt>
                <c:pt idx="33">
                  <c:v>100</c:v>
                </c:pt>
                <c:pt idx="34">
                  <c:v>102</c:v>
                </c:pt>
                <c:pt idx="35">
                  <c:v>104</c:v>
                </c:pt>
                <c:pt idx="36">
                  <c:v>106</c:v>
                </c:pt>
                <c:pt idx="37">
                  <c:v>108</c:v>
                </c:pt>
                <c:pt idx="38">
                  <c:v>110</c:v>
                </c:pt>
                <c:pt idx="39">
                  <c:v>112</c:v>
                </c:pt>
                <c:pt idx="40">
                  <c:v>114</c:v>
                </c:pt>
                <c:pt idx="41">
                  <c:v>116</c:v>
                </c:pt>
                <c:pt idx="42">
                  <c:v>118</c:v>
                </c:pt>
                <c:pt idx="43">
                  <c:v>120</c:v>
                </c:pt>
                <c:pt idx="44">
                  <c:v>122</c:v>
                </c:pt>
                <c:pt idx="45">
                  <c:v>124</c:v>
                </c:pt>
                <c:pt idx="46">
                  <c:v>126</c:v>
                </c:pt>
                <c:pt idx="47">
                  <c:v>128</c:v>
                </c:pt>
                <c:pt idx="48">
                  <c:v>130</c:v>
                </c:pt>
                <c:pt idx="49">
                  <c:v>132</c:v>
                </c:pt>
                <c:pt idx="50">
                  <c:v>134</c:v>
                </c:pt>
                <c:pt idx="51">
                  <c:v>136</c:v>
                </c:pt>
                <c:pt idx="52">
                  <c:v>138</c:v>
                </c:pt>
                <c:pt idx="53">
                  <c:v>140</c:v>
                </c:pt>
                <c:pt idx="54">
                  <c:v>142</c:v>
                </c:pt>
                <c:pt idx="55">
                  <c:v>144</c:v>
                </c:pt>
                <c:pt idx="56">
                  <c:v>146</c:v>
                </c:pt>
                <c:pt idx="57">
                  <c:v>148</c:v>
                </c:pt>
                <c:pt idx="58">
                  <c:v>150</c:v>
                </c:pt>
                <c:pt idx="59">
                  <c:v>152</c:v>
                </c:pt>
                <c:pt idx="60">
                  <c:v>154</c:v>
                </c:pt>
                <c:pt idx="61">
                  <c:v>156</c:v>
                </c:pt>
                <c:pt idx="62">
                  <c:v>158</c:v>
                </c:pt>
                <c:pt idx="63">
                  <c:v>160</c:v>
                </c:pt>
                <c:pt idx="64">
                  <c:v>162</c:v>
                </c:pt>
                <c:pt idx="65">
                  <c:v>164</c:v>
                </c:pt>
                <c:pt idx="66">
                  <c:v>166</c:v>
                </c:pt>
                <c:pt idx="67">
                  <c:v>168</c:v>
                </c:pt>
                <c:pt idx="68">
                  <c:v>170</c:v>
                </c:pt>
                <c:pt idx="69">
                  <c:v>172</c:v>
                </c:pt>
                <c:pt idx="70">
                  <c:v>174</c:v>
                </c:pt>
                <c:pt idx="71">
                  <c:v>176</c:v>
                </c:pt>
                <c:pt idx="72">
                  <c:v>178</c:v>
                </c:pt>
                <c:pt idx="73">
                  <c:v>180</c:v>
                </c:pt>
                <c:pt idx="74">
                  <c:v>182</c:v>
                </c:pt>
                <c:pt idx="75">
                  <c:v>184</c:v>
                </c:pt>
                <c:pt idx="76">
                  <c:v>186</c:v>
                </c:pt>
                <c:pt idx="77">
                  <c:v>188</c:v>
                </c:pt>
                <c:pt idx="78">
                  <c:v>193</c:v>
                </c:pt>
                <c:pt idx="79">
                  <c:v>198</c:v>
                </c:pt>
                <c:pt idx="80">
                  <c:v>203</c:v>
                </c:pt>
                <c:pt idx="81">
                  <c:v>208</c:v>
                </c:pt>
                <c:pt idx="82">
                  <c:v>213</c:v>
                </c:pt>
                <c:pt idx="83">
                  <c:v>400</c:v>
                </c:pt>
                <c:pt idx="84">
                  <c:v>300</c:v>
                </c:pt>
                <c:pt idx="85">
                  <c:v>200</c:v>
                </c:pt>
                <c:pt idx="86">
                  <c:v>100</c:v>
                </c:pt>
              </c:numCache>
            </c:numRef>
          </c:xVal>
          <c:yVal>
            <c:numRef>
              <c:f>'2025Regina'!$G$15:$G$142</c:f>
              <c:numCache>
                <c:formatCode>General</c:formatCode>
                <c:ptCount val="128"/>
                <c:pt idx="0">
                  <c:v>18.303079720156859</c:v>
                </c:pt>
                <c:pt idx="1">
                  <c:v>18.066485485890382</c:v>
                </c:pt>
                <c:pt idx="2">
                  <c:v>17.968726213743082</c:v>
                </c:pt>
                <c:pt idx="3">
                  <c:v>17.949231719023373</c:v>
                </c:pt>
                <c:pt idx="4">
                  <c:v>17.949231719023373</c:v>
                </c:pt>
                <c:pt idx="5">
                  <c:v>17.951667489004137</c:v>
                </c:pt>
                <c:pt idx="6">
                  <c:v>17.96628835956551</c:v>
                </c:pt>
                <c:pt idx="7">
                  <c:v>17.983359599539313</c:v>
                </c:pt>
                <c:pt idx="8">
                  <c:v>17.995562293816988</c:v>
                </c:pt>
                <c:pt idx="9">
                  <c:v>18.010215387121264</c:v>
                </c:pt>
                <c:pt idx="10">
                  <c:v>18.019990098727419</c:v>
                </c:pt>
                <c:pt idx="11">
                  <c:v>18.046895274225335</c:v>
                </c:pt>
                <c:pt idx="12">
                  <c:v>18.056687976100704</c:v>
                </c:pt>
                <c:pt idx="13">
                  <c:v>18.032215226561675</c:v>
                </c:pt>
                <c:pt idx="14">
                  <c:v>17.971164365936602</c:v>
                </c:pt>
                <c:pt idx="15">
                  <c:v>17.912730827439418</c:v>
                </c:pt>
                <c:pt idx="16">
                  <c:v>17.856892262639406</c:v>
                </c:pt>
                <c:pt idx="17">
                  <c:v>17.806045486526841</c:v>
                </c:pt>
                <c:pt idx="18">
                  <c:v>17.757740322511324</c:v>
                </c:pt>
                <c:pt idx="19">
                  <c:v>17.704739594396358</c:v>
                </c:pt>
                <c:pt idx="20">
                  <c:v>17.637487514435179</c:v>
                </c:pt>
                <c:pt idx="21">
                  <c:v>17.587197147908512</c:v>
                </c:pt>
                <c:pt idx="22">
                  <c:v>17.525108471788826</c:v>
                </c:pt>
                <c:pt idx="23">
                  <c:v>17.446581698433363</c:v>
                </c:pt>
                <c:pt idx="24">
                  <c:v>17.358903800591804</c:v>
                </c:pt>
                <c:pt idx="25">
                  <c:v>17.273965299025463</c:v>
                </c:pt>
                <c:pt idx="26">
                  <c:v>17.198768159720032</c:v>
                </c:pt>
                <c:pt idx="27">
                  <c:v>17.123854792114741</c:v>
                </c:pt>
                <c:pt idx="28">
                  <c:v>17.086503895182375</c:v>
                </c:pt>
                <c:pt idx="29">
                  <c:v>17.079508423885727</c:v>
                </c:pt>
                <c:pt idx="30">
                  <c:v>17.079508423885727</c:v>
                </c:pt>
                <c:pt idx="31">
                  <c:v>17.079508423885727</c:v>
                </c:pt>
                <c:pt idx="32">
                  <c:v>17.077177148215696</c:v>
                </c:pt>
                <c:pt idx="33">
                  <c:v>17.077177148215696</c:v>
                </c:pt>
                <c:pt idx="34">
                  <c:v>17.079508423885727</c:v>
                </c:pt>
                <c:pt idx="35">
                  <c:v>17.074846146492632</c:v>
                </c:pt>
                <c:pt idx="36">
                  <c:v>17.077177148215696</c:v>
                </c:pt>
                <c:pt idx="37">
                  <c:v>17.077177148215696</c:v>
                </c:pt>
                <c:pt idx="38">
                  <c:v>17.058536799867227</c:v>
                </c:pt>
                <c:pt idx="39">
                  <c:v>17.079508423885727</c:v>
                </c:pt>
                <c:pt idx="40">
                  <c:v>17.070184964645421</c:v>
                </c:pt>
                <c:pt idx="41">
                  <c:v>17.060865885654209</c:v>
                </c:pt>
                <c:pt idx="42">
                  <c:v>17.063195244965129</c:v>
                </c:pt>
                <c:pt idx="43">
                  <c:v>17.063195244965129</c:v>
                </c:pt>
                <c:pt idx="44">
                  <c:v>17.063195244965129</c:v>
                </c:pt>
                <c:pt idx="45">
                  <c:v>17.063195244965129</c:v>
                </c:pt>
                <c:pt idx="46">
                  <c:v>17.063195244965129</c:v>
                </c:pt>
                <c:pt idx="47">
                  <c:v>17.063195244965129</c:v>
                </c:pt>
                <c:pt idx="48">
                  <c:v>17.063195244965129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1-4B1C-91FD-01F375A6D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199135"/>
        <c:axId val="582198175"/>
      </c:scatterChart>
      <c:valAx>
        <c:axId val="582199135"/>
        <c:scaling>
          <c:orientation val="minMax"/>
          <c:max val="1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2198175"/>
        <c:crosses val="autoZero"/>
        <c:crossBetween val="midCat"/>
      </c:valAx>
      <c:valAx>
        <c:axId val="582198175"/>
        <c:scaling>
          <c:orientation val="minMax"/>
          <c:max val="18.600000000000001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219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10</xdr:row>
      <xdr:rowOff>0</xdr:rowOff>
    </xdr:from>
    <xdr:to>
      <xdr:col>17</xdr:col>
      <xdr:colOff>591293</xdr:colOff>
      <xdr:row>32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58EBB56-D620-4E21-8CF3-F4A66AB6B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12</xdr:row>
      <xdr:rowOff>228600</xdr:rowOff>
    </xdr:from>
    <xdr:to>
      <xdr:col>16</xdr:col>
      <xdr:colOff>267443</xdr:colOff>
      <xdr:row>28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C240E0C-A105-D370-9E40-4EF5365B1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8A90-C715-49CF-AE11-EB7CD3564F14}">
  <dimension ref="B2:G143"/>
  <sheetViews>
    <sheetView zoomScaleNormal="100" workbookViewId="0">
      <selection activeCell="F15" sqref="F15"/>
    </sheetView>
  </sheetViews>
  <sheetFormatPr defaultRowHeight="18.75" x14ac:dyDescent="0.4"/>
  <cols>
    <col min="3" max="4" width="13.125" customWidth="1"/>
    <col min="5" max="6" width="11.875" customWidth="1"/>
    <col min="7" max="8" width="11.625" bestFit="1" customWidth="1"/>
  </cols>
  <sheetData>
    <row r="2" spans="2:7" x14ac:dyDescent="0.4">
      <c r="C2" t="s">
        <v>2</v>
      </c>
      <c r="E2">
        <v>60</v>
      </c>
    </row>
    <row r="3" spans="2:7" x14ac:dyDescent="0.4">
      <c r="C3" t="s">
        <v>8</v>
      </c>
    </row>
    <row r="4" spans="2:7" x14ac:dyDescent="0.4">
      <c r="C4" t="s">
        <v>5</v>
      </c>
      <c r="E4" s="1">
        <v>9.6865999999999999E-4</v>
      </c>
      <c r="F4" s="1"/>
      <c r="G4">
        <v>2.8565700000000001E-3</v>
      </c>
    </row>
    <row r="5" spans="2:7" x14ac:dyDescent="0.4">
      <c r="C5" t="s">
        <v>6</v>
      </c>
      <c r="E5" s="1">
        <v>2.6937E-4</v>
      </c>
      <c r="F5" s="1"/>
      <c r="G5">
        <v>2.90179E-4</v>
      </c>
    </row>
    <row r="6" spans="2:7" x14ac:dyDescent="0.4">
      <c r="C6" t="s">
        <v>7</v>
      </c>
      <c r="E6" s="2">
        <v>1.1656000000000001E-7</v>
      </c>
      <c r="F6" s="2"/>
      <c r="G6">
        <v>5.6804000000000005E-7</v>
      </c>
    </row>
    <row r="7" spans="2:7" x14ac:dyDescent="0.4">
      <c r="E7" t="s">
        <v>9</v>
      </c>
      <c r="G7" t="s">
        <v>10</v>
      </c>
    </row>
    <row r="9" spans="2:7" x14ac:dyDescent="0.4">
      <c r="C9" t="s">
        <v>13</v>
      </c>
      <c r="D9" t="s">
        <v>15</v>
      </c>
      <c r="E9">
        <v>1</v>
      </c>
    </row>
    <row r="10" spans="2:7" x14ac:dyDescent="0.4">
      <c r="C10" t="s">
        <v>14</v>
      </c>
      <c r="D10" t="s">
        <v>16</v>
      </c>
      <c r="E10">
        <v>1.5</v>
      </c>
    </row>
    <row r="11" spans="2:7" x14ac:dyDescent="0.4">
      <c r="C11" t="s">
        <v>17</v>
      </c>
      <c r="D11" t="s">
        <v>18</v>
      </c>
      <c r="E11">
        <f>E10-E9</f>
        <v>0.5</v>
      </c>
    </row>
    <row r="14" spans="2:7" x14ac:dyDescent="0.4">
      <c r="B14" t="s">
        <v>4</v>
      </c>
      <c r="C14" t="s">
        <v>11</v>
      </c>
      <c r="D14" t="s">
        <v>12</v>
      </c>
      <c r="E14" t="s">
        <v>0</v>
      </c>
      <c r="G14" t="s">
        <v>1</v>
      </c>
    </row>
    <row r="15" spans="2:7" x14ac:dyDescent="0.4">
      <c r="B15" s="4"/>
      <c r="C15">
        <v>5</v>
      </c>
      <c r="D15">
        <f>C15</f>
        <v>5</v>
      </c>
      <c r="E15">
        <v>5.7370000000000001</v>
      </c>
      <c r="F15">
        <f>E15*1000-$E$2</f>
        <v>5677</v>
      </c>
      <c r="G15">
        <f>1/($E$4+$E$5*LN(F15)+$E$6*LN(F15)^3)-273.15</f>
        <v>23.372145074089872</v>
      </c>
    </row>
    <row r="16" spans="2:7" x14ac:dyDescent="0.4">
      <c r="C16">
        <f>C15+5</f>
        <v>10</v>
      </c>
      <c r="D16">
        <f t="shared" ref="D16:D57" si="0">C16</f>
        <v>10</v>
      </c>
      <c r="E16">
        <v>6.484</v>
      </c>
      <c r="F16">
        <f t="shared" ref="F16:F79" si="1">E16*1000-$E$2</f>
        <v>6424</v>
      </c>
      <c r="G16">
        <f t="shared" ref="G16:G28" si="2">1/($E$4+$E$5*LN(F16)+$E$6*LN(F16)^3)-273.15</f>
        <v>20.190743689518456</v>
      </c>
    </row>
    <row r="17" spans="3:7" x14ac:dyDescent="0.4">
      <c r="C17">
        <f t="shared" ref="C17:C80" si="3">C16+5</f>
        <v>15</v>
      </c>
      <c r="D17">
        <f t="shared" si="0"/>
        <v>15</v>
      </c>
      <c r="E17">
        <v>6.1230000000000002</v>
      </c>
      <c r="F17">
        <f t="shared" si="1"/>
        <v>6063</v>
      </c>
      <c r="G17">
        <f t="shared" si="2"/>
        <v>21.671667962230117</v>
      </c>
    </row>
    <row r="18" spans="3:7" x14ac:dyDescent="0.4">
      <c r="C18">
        <f t="shared" si="3"/>
        <v>20</v>
      </c>
      <c r="D18">
        <f t="shared" si="0"/>
        <v>20</v>
      </c>
      <c r="E18">
        <v>5.7640000000000002</v>
      </c>
      <c r="F18">
        <f t="shared" si="1"/>
        <v>5704</v>
      </c>
      <c r="G18">
        <f t="shared" si="2"/>
        <v>23.248912765738567</v>
      </c>
    </row>
    <row r="19" spans="3:7" x14ac:dyDescent="0.4">
      <c r="C19">
        <f t="shared" si="3"/>
        <v>25</v>
      </c>
      <c r="D19">
        <f t="shared" si="0"/>
        <v>25</v>
      </c>
      <c r="E19">
        <v>5.39</v>
      </c>
      <c r="F19">
        <f t="shared" si="1"/>
        <v>5330</v>
      </c>
      <c r="G19">
        <f t="shared" si="2"/>
        <v>25.018903641787801</v>
      </c>
    </row>
    <row r="20" spans="3:7" x14ac:dyDescent="0.4">
      <c r="C20">
        <f t="shared" si="3"/>
        <v>30</v>
      </c>
      <c r="D20">
        <f t="shared" si="0"/>
        <v>30</v>
      </c>
      <c r="E20">
        <v>5.03</v>
      </c>
      <c r="F20">
        <f t="shared" si="1"/>
        <v>4970</v>
      </c>
      <c r="G20">
        <f t="shared" si="2"/>
        <v>26.863768624695297</v>
      </c>
    </row>
    <row r="21" spans="3:7" x14ac:dyDescent="0.4">
      <c r="C21">
        <f t="shared" si="3"/>
        <v>35</v>
      </c>
      <c r="D21">
        <f t="shared" si="0"/>
        <v>35</v>
      </c>
      <c r="E21">
        <v>4.6479999999999997</v>
      </c>
      <c r="F21">
        <f t="shared" si="1"/>
        <v>4588</v>
      </c>
      <c r="G21">
        <f t="shared" si="2"/>
        <v>28.998538163438241</v>
      </c>
    </row>
    <row r="22" spans="3:7" x14ac:dyDescent="0.4">
      <c r="C22">
        <f t="shared" si="3"/>
        <v>40</v>
      </c>
      <c r="D22">
        <f t="shared" si="0"/>
        <v>40</v>
      </c>
      <c r="E22">
        <v>4.3949999999999996</v>
      </c>
      <c r="F22">
        <f t="shared" si="1"/>
        <v>4335</v>
      </c>
      <c r="G22">
        <f t="shared" si="2"/>
        <v>30.529017827847554</v>
      </c>
    </row>
    <row r="23" spans="3:7" x14ac:dyDescent="0.4">
      <c r="C23">
        <f t="shared" si="3"/>
        <v>45</v>
      </c>
      <c r="D23">
        <f t="shared" si="0"/>
        <v>45</v>
      </c>
      <c r="E23">
        <v>4.0949999999999998</v>
      </c>
      <c r="F23">
        <f t="shared" si="1"/>
        <v>4034.9999999999995</v>
      </c>
      <c r="G23">
        <f t="shared" si="2"/>
        <v>32.483847103180665</v>
      </c>
    </row>
    <row r="24" spans="3:7" x14ac:dyDescent="0.4">
      <c r="C24">
        <f t="shared" si="3"/>
        <v>50</v>
      </c>
      <c r="D24">
        <f t="shared" si="0"/>
        <v>50</v>
      </c>
      <c r="E24">
        <v>3.69</v>
      </c>
      <c r="F24">
        <f t="shared" si="1"/>
        <v>3630</v>
      </c>
      <c r="G24">
        <f t="shared" si="2"/>
        <v>35.408236341488987</v>
      </c>
    </row>
    <row r="25" spans="3:7" x14ac:dyDescent="0.4">
      <c r="C25">
        <f t="shared" si="3"/>
        <v>55</v>
      </c>
      <c r="D25">
        <f t="shared" si="0"/>
        <v>55</v>
      </c>
      <c r="E25">
        <v>3.5329999999999999</v>
      </c>
      <c r="F25">
        <f t="shared" si="1"/>
        <v>3473</v>
      </c>
      <c r="G25">
        <f t="shared" si="2"/>
        <v>36.645467736045305</v>
      </c>
    </row>
    <row r="26" spans="3:7" x14ac:dyDescent="0.4">
      <c r="C26">
        <f t="shared" si="3"/>
        <v>60</v>
      </c>
      <c r="D26">
        <f t="shared" si="0"/>
        <v>60</v>
      </c>
      <c r="E26">
        <v>3.359</v>
      </c>
      <c r="F26">
        <f t="shared" si="1"/>
        <v>3299</v>
      </c>
      <c r="G26">
        <f t="shared" si="2"/>
        <v>38.094943485930344</v>
      </c>
    </row>
    <row r="27" spans="3:7" x14ac:dyDescent="0.4">
      <c r="C27">
        <f t="shared" si="3"/>
        <v>65</v>
      </c>
      <c r="D27">
        <f t="shared" si="0"/>
        <v>65</v>
      </c>
      <c r="E27">
        <v>3.3090000000000002</v>
      </c>
      <c r="F27">
        <f t="shared" si="1"/>
        <v>3249</v>
      </c>
      <c r="G27">
        <f t="shared" si="2"/>
        <v>38.527958434188804</v>
      </c>
    </row>
    <row r="28" spans="3:7" x14ac:dyDescent="0.4">
      <c r="C28">
        <f t="shared" si="3"/>
        <v>70</v>
      </c>
      <c r="D28">
        <f t="shared" si="0"/>
        <v>70</v>
      </c>
      <c r="E28">
        <v>3.2530000000000001</v>
      </c>
      <c r="F28">
        <f t="shared" si="1"/>
        <v>3193</v>
      </c>
      <c r="G28">
        <f t="shared" si="2"/>
        <v>39.022230539000191</v>
      </c>
    </row>
    <row r="29" spans="3:7" x14ac:dyDescent="0.4">
      <c r="C29">
        <f t="shared" si="3"/>
        <v>75</v>
      </c>
      <c r="D29">
        <f t="shared" si="0"/>
        <v>75</v>
      </c>
      <c r="F29">
        <f t="shared" si="1"/>
        <v>-60</v>
      </c>
      <c r="G29" t="e">
        <f t="shared" ref="G29:G79" si="4">1/($E$4+$E$5*LN(F29)+$E$6*LN(E29)^3)-273.15</f>
        <v>#NUM!</v>
      </c>
    </row>
    <row r="30" spans="3:7" x14ac:dyDescent="0.4">
      <c r="C30">
        <f t="shared" si="3"/>
        <v>80</v>
      </c>
      <c r="D30">
        <f t="shared" si="0"/>
        <v>80</v>
      </c>
      <c r="F30">
        <f t="shared" si="1"/>
        <v>-60</v>
      </c>
      <c r="G30" t="e">
        <f t="shared" si="4"/>
        <v>#NUM!</v>
      </c>
    </row>
    <row r="31" spans="3:7" x14ac:dyDescent="0.4">
      <c r="C31">
        <f t="shared" si="3"/>
        <v>85</v>
      </c>
      <c r="D31">
        <f t="shared" si="0"/>
        <v>85</v>
      </c>
      <c r="F31">
        <f t="shared" si="1"/>
        <v>-60</v>
      </c>
      <c r="G31" t="e">
        <f t="shared" si="4"/>
        <v>#NUM!</v>
      </c>
    </row>
    <row r="32" spans="3:7" x14ac:dyDescent="0.4">
      <c r="C32">
        <f t="shared" si="3"/>
        <v>90</v>
      </c>
      <c r="D32">
        <f t="shared" si="0"/>
        <v>90</v>
      </c>
      <c r="F32">
        <f t="shared" si="1"/>
        <v>-60</v>
      </c>
      <c r="G32" t="e">
        <f t="shared" si="4"/>
        <v>#NUM!</v>
      </c>
    </row>
    <row r="33" spans="3:7" x14ac:dyDescent="0.4">
      <c r="C33">
        <f t="shared" si="3"/>
        <v>95</v>
      </c>
      <c r="D33">
        <f t="shared" si="0"/>
        <v>95</v>
      </c>
      <c r="F33">
        <f t="shared" si="1"/>
        <v>-60</v>
      </c>
      <c r="G33" t="e">
        <f t="shared" si="4"/>
        <v>#NUM!</v>
      </c>
    </row>
    <row r="34" spans="3:7" x14ac:dyDescent="0.4">
      <c r="C34">
        <f t="shared" si="3"/>
        <v>100</v>
      </c>
      <c r="D34">
        <f t="shared" si="0"/>
        <v>100</v>
      </c>
      <c r="F34">
        <f t="shared" si="1"/>
        <v>-60</v>
      </c>
      <c r="G34" t="e">
        <f t="shared" si="4"/>
        <v>#NUM!</v>
      </c>
    </row>
    <row r="35" spans="3:7" x14ac:dyDescent="0.4">
      <c r="C35">
        <f t="shared" si="3"/>
        <v>105</v>
      </c>
      <c r="D35">
        <f t="shared" si="0"/>
        <v>105</v>
      </c>
      <c r="F35">
        <f t="shared" si="1"/>
        <v>-60</v>
      </c>
      <c r="G35" t="e">
        <f t="shared" si="4"/>
        <v>#NUM!</v>
      </c>
    </row>
    <row r="36" spans="3:7" x14ac:dyDescent="0.4">
      <c r="C36">
        <f t="shared" si="3"/>
        <v>110</v>
      </c>
      <c r="D36">
        <f t="shared" si="0"/>
        <v>110</v>
      </c>
      <c r="F36">
        <f t="shared" si="1"/>
        <v>-60</v>
      </c>
      <c r="G36" t="e">
        <f t="shared" si="4"/>
        <v>#NUM!</v>
      </c>
    </row>
    <row r="37" spans="3:7" x14ac:dyDescent="0.4">
      <c r="C37">
        <f t="shared" si="3"/>
        <v>115</v>
      </c>
      <c r="D37">
        <f t="shared" si="0"/>
        <v>115</v>
      </c>
      <c r="F37">
        <f t="shared" si="1"/>
        <v>-60</v>
      </c>
      <c r="G37" t="e">
        <f t="shared" si="4"/>
        <v>#NUM!</v>
      </c>
    </row>
    <row r="38" spans="3:7" x14ac:dyDescent="0.4">
      <c r="C38">
        <f t="shared" si="3"/>
        <v>120</v>
      </c>
      <c r="D38">
        <f t="shared" si="0"/>
        <v>120</v>
      </c>
      <c r="F38">
        <f t="shared" si="1"/>
        <v>-60</v>
      </c>
      <c r="G38" t="e">
        <f t="shared" si="4"/>
        <v>#NUM!</v>
      </c>
    </row>
    <row r="39" spans="3:7" x14ac:dyDescent="0.4">
      <c r="C39">
        <f t="shared" si="3"/>
        <v>125</v>
      </c>
      <c r="D39">
        <f t="shared" si="0"/>
        <v>125</v>
      </c>
      <c r="F39">
        <f t="shared" si="1"/>
        <v>-60</v>
      </c>
      <c r="G39" t="e">
        <f t="shared" si="4"/>
        <v>#NUM!</v>
      </c>
    </row>
    <row r="40" spans="3:7" x14ac:dyDescent="0.4">
      <c r="C40">
        <f t="shared" si="3"/>
        <v>130</v>
      </c>
      <c r="D40">
        <f t="shared" si="0"/>
        <v>130</v>
      </c>
      <c r="F40">
        <f t="shared" si="1"/>
        <v>-60</v>
      </c>
      <c r="G40" t="e">
        <f t="shared" si="4"/>
        <v>#NUM!</v>
      </c>
    </row>
    <row r="41" spans="3:7" x14ac:dyDescent="0.4">
      <c r="C41">
        <f t="shared" si="3"/>
        <v>135</v>
      </c>
      <c r="D41">
        <f t="shared" si="0"/>
        <v>135</v>
      </c>
      <c r="F41">
        <f t="shared" si="1"/>
        <v>-60</v>
      </c>
      <c r="G41" t="e">
        <f t="shared" si="4"/>
        <v>#NUM!</v>
      </c>
    </row>
    <row r="42" spans="3:7" x14ac:dyDescent="0.4">
      <c r="C42">
        <f t="shared" si="3"/>
        <v>140</v>
      </c>
      <c r="D42">
        <f t="shared" si="0"/>
        <v>140</v>
      </c>
      <c r="F42">
        <f t="shared" si="1"/>
        <v>-60</v>
      </c>
      <c r="G42" t="e">
        <f t="shared" si="4"/>
        <v>#NUM!</v>
      </c>
    </row>
    <row r="43" spans="3:7" x14ac:dyDescent="0.4">
      <c r="C43">
        <f t="shared" si="3"/>
        <v>145</v>
      </c>
      <c r="D43">
        <f t="shared" si="0"/>
        <v>145</v>
      </c>
      <c r="F43">
        <f t="shared" si="1"/>
        <v>-60</v>
      </c>
      <c r="G43" t="e">
        <f t="shared" si="4"/>
        <v>#NUM!</v>
      </c>
    </row>
    <row r="44" spans="3:7" x14ac:dyDescent="0.4">
      <c r="C44">
        <f t="shared" si="3"/>
        <v>150</v>
      </c>
      <c r="D44">
        <f t="shared" si="0"/>
        <v>150</v>
      </c>
      <c r="F44">
        <f t="shared" si="1"/>
        <v>-60</v>
      </c>
      <c r="G44" t="e">
        <f t="shared" si="4"/>
        <v>#NUM!</v>
      </c>
    </row>
    <row r="45" spans="3:7" x14ac:dyDescent="0.4">
      <c r="C45">
        <f t="shared" si="3"/>
        <v>155</v>
      </c>
      <c r="D45">
        <f t="shared" si="0"/>
        <v>155</v>
      </c>
      <c r="F45">
        <f t="shared" si="1"/>
        <v>-60</v>
      </c>
      <c r="G45" t="e">
        <f t="shared" si="4"/>
        <v>#NUM!</v>
      </c>
    </row>
    <row r="46" spans="3:7" x14ac:dyDescent="0.4">
      <c r="C46">
        <f t="shared" si="3"/>
        <v>160</v>
      </c>
      <c r="D46">
        <f t="shared" si="0"/>
        <v>160</v>
      </c>
      <c r="F46">
        <f t="shared" si="1"/>
        <v>-60</v>
      </c>
      <c r="G46" t="e">
        <f t="shared" si="4"/>
        <v>#NUM!</v>
      </c>
    </row>
    <row r="47" spans="3:7" x14ac:dyDescent="0.4">
      <c r="C47">
        <f t="shared" si="3"/>
        <v>165</v>
      </c>
      <c r="D47">
        <f t="shared" si="0"/>
        <v>165</v>
      </c>
      <c r="F47">
        <f t="shared" si="1"/>
        <v>-60</v>
      </c>
      <c r="G47" t="e">
        <f t="shared" si="4"/>
        <v>#NUM!</v>
      </c>
    </row>
    <row r="48" spans="3:7" x14ac:dyDescent="0.4">
      <c r="C48">
        <f t="shared" si="3"/>
        <v>170</v>
      </c>
      <c r="D48">
        <f t="shared" si="0"/>
        <v>170</v>
      </c>
      <c r="F48">
        <f t="shared" si="1"/>
        <v>-60</v>
      </c>
      <c r="G48" t="e">
        <f t="shared" si="4"/>
        <v>#NUM!</v>
      </c>
    </row>
    <row r="49" spans="3:7" x14ac:dyDescent="0.4">
      <c r="C49">
        <f t="shared" si="3"/>
        <v>175</v>
      </c>
      <c r="D49">
        <f t="shared" si="0"/>
        <v>175</v>
      </c>
      <c r="F49">
        <f t="shared" si="1"/>
        <v>-60</v>
      </c>
      <c r="G49" t="e">
        <f t="shared" si="4"/>
        <v>#NUM!</v>
      </c>
    </row>
    <row r="50" spans="3:7" x14ac:dyDescent="0.4">
      <c r="C50">
        <f t="shared" si="3"/>
        <v>180</v>
      </c>
      <c r="D50">
        <f t="shared" si="0"/>
        <v>180</v>
      </c>
      <c r="F50">
        <f t="shared" si="1"/>
        <v>-60</v>
      </c>
      <c r="G50" t="e">
        <f t="shared" si="4"/>
        <v>#NUM!</v>
      </c>
    </row>
    <row r="51" spans="3:7" x14ac:dyDescent="0.4">
      <c r="C51">
        <f t="shared" si="3"/>
        <v>185</v>
      </c>
      <c r="D51">
        <f t="shared" si="0"/>
        <v>185</v>
      </c>
      <c r="F51">
        <f t="shared" si="1"/>
        <v>-60</v>
      </c>
      <c r="G51" t="e">
        <f t="shared" si="4"/>
        <v>#NUM!</v>
      </c>
    </row>
    <row r="52" spans="3:7" x14ac:dyDescent="0.4">
      <c r="C52">
        <f t="shared" si="3"/>
        <v>190</v>
      </c>
      <c r="D52">
        <f t="shared" si="0"/>
        <v>190</v>
      </c>
      <c r="F52">
        <f t="shared" si="1"/>
        <v>-60</v>
      </c>
      <c r="G52" t="e">
        <f t="shared" si="4"/>
        <v>#NUM!</v>
      </c>
    </row>
    <row r="53" spans="3:7" x14ac:dyDescent="0.4">
      <c r="C53">
        <f t="shared" si="3"/>
        <v>195</v>
      </c>
      <c r="D53">
        <f t="shared" si="0"/>
        <v>195</v>
      </c>
      <c r="F53">
        <f t="shared" si="1"/>
        <v>-60</v>
      </c>
      <c r="G53" t="e">
        <f t="shared" si="4"/>
        <v>#NUM!</v>
      </c>
    </row>
    <row r="54" spans="3:7" x14ac:dyDescent="0.4">
      <c r="C54">
        <f t="shared" si="3"/>
        <v>200</v>
      </c>
      <c r="D54">
        <f t="shared" si="0"/>
        <v>200</v>
      </c>
      <c r="F54">
        <f t="shared" si="1"/>
        <v>-60</v>
      </c>
      <c r="G54" t="e">
        <f t="shared" si="4"/>
        <v>#NUM!</v>
      </c>
    </row>
    <row r="55" spans="3:7" x14ac:dyDescent="0.4">
      <c r="C55">
        <f t="shared" si="3"/>
        <v>205</v>
      </c>
      <c r="D55">
        <f t="shared" si="0"/>
        <v>205</v>
      </c>
      <c r="F55">
        <f t="shared" si="1"/>
        <v>-60</v>
      </c>
      <c r="G55" t="e">
        <f t="shared" si="4"/>
        <v>#NUM!</v>
      </c>
    </row>
    <row r="56" spans="3:7" x14ac:dyDescent="0.4">
      <c r="C56">
        <f t="shared" si="3"/>
        <v>210</v>
      </c>
      <c r="D56">
        <f t="shared" si="0"/>
        <v>210</v>
      </c>
      <c r="F56">
        <f t="shared" si="1"/>
        <v>-60</v>
      </c>
      <c r="G56" t="e">
        <f t="shared" si="4"/>
        <v>#NUM!</v>
      </c>
    </row>
    <row r="57" spans="3:7" x14ac:dyDescent="0.4">
      <c r="C57">
        <f t="shared" si="3"/>
        <v>215</v>
      </c>
      <c r="D57">
        <f t="shared" si="0"/>
        <v>215</v>
      </c>
      <c r="F57">
        <f t="shared" si="1"/>
        <v>-60</v>
      </c>
      <c r="G57" t="e">
        <f t="shared" si="4"/>
        <v>#NUM!</v>
      </c>
    </row>
    <row r="58" spans="3:7" x14ac:dyDescent="0.4">
      <c r="C58">
        <f t="shared" si="3"/>
        <v>220</v>
      </c>
      <c r="D58">
        <v>120</v>
      </c>
      <c r="F58">
        <f t="shared" si="1"/>
        <v>-60</v>
      </c>
      <c r="G58" t="e">
        <f t="shared" si="4"/>
        <v>#NUM!</v>
      </c>
    </row>
    <row r="59" spans="3:7" x14ac:dyDescent="0.4">
      <c r="C59">
        <f t="shared" si="3"/>
        <v>225</v>
      </c>
      <c r="D59">
        <v>122</v>
      </c>
      <c r="F59">
        <f t="shared" si="1"/>
        <v>-60</v>
      </c>
      <c r="G59" t="e">
        <f t="shared" si="4"/>
        <v>#NUM!</v>
      </c>
    </row>
    <row r="60" spans="3:7" x14ac:dyDescent="0.4">
      <c r="C60">
        <f t="shared" si="3"/>
        <v>230</v>
      </c>
      <c r="D60">
        <v>124</v>
      </c>
      <c r="F60">
        <f t="shared" si="1"/>
        <v>-60</v>
      </c>
      <c r="G60" t="e">
        <f t="shared" si="4"/>
        <v>#NUM!</v>
      </c>
    </row>
    <row r="61" spans="3:7" x14ac:dyDescent="0.4">
      <c r="C61">
        <f t="shared" si="3"/>
        <v>235</v>
      </c>
      <c r="D61">
        <v>126</v>
      </c>
      <c r="F61">
        <f t="shared" si="1"/>
        <v>-60</v>
      </c>
      <c r="G61" t="e">
        <f t="shared" si="4"/>
        <v>#NUM!</v>
      </c>
    </row>
    <row r="62" spans="3:7" x14ac:dyDescent="0.4">
      <c r="C62">
        <f t="shared" si="3"/>
        <v>240</v>
      </c>
      <c r="D62">
        <v>128</v>
      </c>
      <c r="F62">
        <f t="shared" si="1"/>
        <v>-60</v>
      </c>
      <c r="G62" t="e">
        <f t="shared" si="4"/>
        <v>#NUM!</v>
      </c>
    </row>
    <row r="63" spans="3:7" x14ac:dyDescent="0.4">
      <c r="C63">
        <f t="shared" si="3"/>
        <v>245</v>
      </c>
      <c r="D63">
        <v>130</v>
      </c>
      <c r="F63">
        <f t="shared" si="1"/>
        <v>-60</v>
      </c>
      <c r="G63" t="e">
        <f t="shared" si="4"/>
        <v>#NUM!</v>
      </c>
    </row>
    <row r="64" spans="3:7" x14ac:dyDescent="0.4">
      <c r="C64">
        <f t="shared" si="3"/>
        <v>250</v>
      </c>
      <c r="F64">
        <f t="shared" si="1"/>
        <v>-60</v>
      </c>
      <c r="G64" t="e">
        <f t="shared" si="4"/>
        <v>#NUM!</v>
      </c>
    </row>
    <row r="65" spans="3:7" x14ac:dyDescent="0.4">
      <c r="C65">
        <f t="shared" si="3"/>
        <v>255</v>
      </c>
      <c r="F65">
        <f t="shared" si="1"/>
        <v>-60</v>
      </c>
      <c r="G65" t="e">
        <f t="shared" si="4"/>
        <v>#NUM!</v>
      </c>
    </row>
    <row r="66" spans="3:7" x14ac:dyDescent="0.4">
      <c r="C66">
        <f t="shared" si="3"/>
        <v>260</v>
      </c>
      <c r="F66">
        <f t="shared" si="1"/>
        <v>-60</v>
      </c>
      <c r="G66" t="e">
        <f t="shared" si="4"/>
        <v>#NUM!</v>
      </c>
    </row>
    <row r="67" spans="3:7" x14ac:dyDescent="0.4">
      <c r="C67">
        <f t="shared" si="3"/>
        <v>265</v>
      </c>
      <c r="F67">
        <f t="shared" si="1"/>
        <v>-60</v>
      </c>
      <c r="G67" t="e">
        <f t="shared" si="4"/>
        <v>#NUM!</v>
      </c>
    </row>
    <row r="68" spans="3:7" x14ac:dyDescent="0.4">
      <c r="C68">
        <f t="shared" si="3"/>
        <v>270</v>
      </c>
      <c r="F68">
        <f t="shared" si="1"/>
        <v>-60</v>
      </c>
      <c r="G68" t="e">
        <f t="shared" si="4"/>
        <v>#NUM!</v>
      </c>
    </row>
    <row r="69" spans="3:7" x14ac:dyDescent="0.4">
      <c r="C69">
        <f t="shared" si="3"/>
        <v>275</v>
      </c>
      <c r="F69">
        <f t="shared" si="1"/>
        <v>-60</v>
      </c>
      <c r="G69" t="e">
        <f t="shared" si="4"/>
        <v>#NUM!</v>
      </c>
    </row>
    <row r="70" spans="3:7" x14ac:dyDescent="0.4">
      <c r="C70">
        <f t="shared" si="3"/>
        <v>280</v>
      </c>
      <c r="F70">
        <f t="shared" si="1"/>
        <v>-60</v>
      </c>
      <c r="G70" t="e">
        <f t="shared" si="4"/>
        <v>#NUM!</v>
      </c>
    </row>
    <row r="71" spans="3:7" x14ac:dyDescent="0.4">
      <c r="C71">
        <f t="shared" si="3"/>
        <v>285</v>
      </c>
      <c r="F71">
        <f t="shared" si="1"/>
        <v>-60</v>
      </c>
      <c r="G71" t="e">
        <f t="shared" si="4"/>
        <v>#NUM!</v>
      </c>
    </row>
    <row r="72" spans="3:7" x14ac:dyDescent="0.4">
      <c r="C72">
        <f t="shared" si="3"/>
        <v>290</v>
      </c>
      <c r="F72">
        <f t="shared" si="1"/>
        <v>-60</v>
      </c>
      <c r="G72" t="e">
        <f t="shared" si="4"/>
        <v>#NUM!</v>
      </c>
    </row>
    <row r="73" spans="3:7" x14ac:dyDescent="0.4">
      <c r="C73">
        <f t="shared" si="3"/>
        <v>295</v>
      </c>
      <c r="F73">
        <f t="shared" si="1"/>
        <v>-60</v>
      </c>
      <c r="G73" t="e">
        <f t="shared" si="4"/>
        <v>#NUM!</v>
      </c>
    </row>
    <row r="74" spans="3:7" x14ac:dyDescent="0.4">
      <c r="C74">
        <f t="shared" si="3"/>
        <v>300</v>
      </c>
      <c r="F74">
        <f t="shared" si="1"/>
        <v>-60</v>
      </c>
      <c r="G74" t="e">
        <f t="shared" si="4"/>
        <v>#NUM!</v>
      </c>
    </row>
    <row r="75" spans="3:7" x14ac:dyDescent="0.4">
      <c r="C75">
        <f t="shared" si="3"/>
        <v>305</v>
      </c>
      <c r="F75">
        <f t="shared" si="1"/>
        <v>-60</v>
      </c>
      <c r="G75" t="e">
        <f t="shared" si="4"/>
        <v>#NUM!</v>
      </c>
    </row>
    <row r="76" spans="3:7" x14ac:dyDescent="0.4">
      <c r="C76">
        <f t="shared" si="3"/>
        <v>310</v>
      </c>
      <c r="F76">
        <f t="shared" si="1"/>
        <v>-60</v>
      </c>
      <c r="G76" t="e">
        <f t="shared" si="4"/>
        <v>#NUM!</v>
      </c>
    </row>
    <row r="77" spans="3:7" x14ac:dyDescent="0.4">
      <c r="C77">
        <f t="shared" si="3"/>
        <v>315</v>
      </c>
      <c r="F77">
        <f t="shared" si="1"/>
        <v>-60</v>
      </c>
      <c r="G77" t="e">
        <f t="shared" si="4"/>
        <v>#NUM!</v>
      </c>
    </row>
    <row r="78" spans="3:7" x14ac:dyDescent="0.4">
      <c r="C78">
        <f t="shared" si="3"/>
        <v>320</v>
      </c>
      <c r="F78">
        <f t="shared" si="1"/>
        <v>-60</v>
      </c>
      <c r="G78" t="e">
        <f t="shared" si="4"/>
        <v>#NUM!</v>
      </c>
    </row>
    <row r="79" spans="3:7" x14ac:dyDescent="0.4">
      <c r="C79">
        <f t="shared" si="3"/>
        <v>325</v>
      </c>
      <c r="F79">
        <f t="shared" si="1"/>
        <v>-60</v>
      </c>
      <c r="G79" t="e">
        <f t="shared" si="4"/>
        <v>#NUM!</v>
      </c>
    </row>
    <row r="80" spans="3:7" x14ac:dyDescent="0.4">
      <c r="C80">
        <f t="shared" si="3"/>
        <v>330</v>
      </c>
      <c r="F80">
        <f t="shared" ref="F80:F101" si="5">E80*1000-$E$2</f>
        <v>-60</v>
      </c>
      <c r="G80" t="e">
        <f t="shared" ref="G80:G101" si="6">1/($E$4+$E$5*LN(F80)+$E$6*LN(E80)^3)-273.15</f>
        <v>#NUM!</v>
      </c>
    </row>
    <row r="81" spans="3:7" x14ac:dyDescent="0.4">
      <c r="C81">
        <f t="shared" ref="C81:C101" si="7">C80+5</f>
        <v>335</v>
      </c>
      <c r="F81">
        <f t="shared" si="5"/>
        <v>-60</v>
      </c>
      <c r="G81" t="e">
        <f t="shared" si="6"/>
        <v>#NUM!</v>
      </c>
    </row>
    <row r="82" spans="3:7" x14ac:dyDescent="0.4">
      <c r="C82">
        <f t="shared" si="7"/>
        <v>340</v>
      </c>
      <c r="F82">
        <f t="shared" si="5"/>
        <v>-60</v>
      </c>
      <c r="G82" t="e">
        <f t="shared" si="6"/>
        <v>#NUM!</v>
      </c>
    </row>
    <row r="83" spans="3:7" x14ac:dyDescent="0.4">
      <c r="C83">
        <f t="shared" si="7"/>
        <v>345</v>
      </c>
      <c r="F83">
        <f t="shared" si="5"/>
        <v>-60</v>
      </c>
      <c r="G83" t="e">
        <f t="shared" si="6"/>
        <v>#NUM!</v>
      </c>
    </row>
    <row r="84" spans="3:7" x14ac:dyDescent="0.4">
      <c r="C84">
        <f t="shared" si="7"/>
        <v>350</v>
      </c>
      <c r="F84">
        <f t="shared" si="5"/>
        <v>-60</v>
      </c>
      <c r="G84" t="e">
        <f t="shared" si="6"/>
        <v>#NUM!</v>
      </c>
    </row>
    <row r="85" spans="3:7" x14ac:dyDescent="0.4">
      <c r="C85">
        <f t="shared" si="7"/>
        <v>355</v>
      </c>
      <c r="F85">
        <f t="shared" si="5"/>
        <v>-60</v>
      </c>
      <c r="G85" t="e">
        <f t="shared" si="6"/>
        <v>#NUM!</v>
      </c>
    </row>
    <row r="86" spans="3:7" x14ac:dyDescent="0.4">
      <c r="C86">
        <f t="shared" si="7"/>
        <v>360</v>
      </c>
      <c r="F86">
        <f t="shared" si="5"/>
        <v>-60</v>
      </c>
      <c r="G86" t="e">
        <f t="shared" si="6"/>
        <v>#NUM!</v>
      </c>
    </row>
    <row r="87" spans="3:7" x14ac:dyDescent="0.4">
      <c r="C87">
        <f t="shared" si="7"/>
        <v>365</v>
      </c>
      <c r="F87">
        <f t="shared" si="5"/>
        <v>-60</v>
      </c>
      <c r="G87" t="e">
        <f t="shared" si="6"/>
        <v>#NUM!</v>
      </c>
    </row>
    <row r="88" spans="3:7" x14ac:dyDescent="0.4">
      <c r="C88">
        <f t="shared" si="7"/>
        <v>370</v>
      </c>
      <c r="F88">
        <f t="shared" si="5"/>
        <v>-60</v>
      </c>
      <c r="G88" t="e">
        <f t="shared" si="6"/>
        <v>#NUM!</v>
      </c>
    </row>
    <row r="89" spans="3:7" x14ac:dyDescent="0.4">
      <c r="C89">
        <f t="shared" si="7"/>
        <v>375</v>
      </c>
      <c r="F89">
        <f t="shared" si="5"/>
        <v>-60</v>
      </c>
      <c r="G89" t="e">
        <f t="shared" si="6"/>
        <v>#NUM!</v>
      </c>
    </row>
    <row r="90" spans="3:7" x14ac:dyDescent="0.4">
      <c r="C90">
        <f t="shared" si="7"/>
        <v>380</v>
      </c>
      <c r="F90">
        <f t="shared" si="5"/>
        <v>-60</v>
      </c>
      <c r="G90" t="e">
        <f t="shared" si="6"/>
        <v>#NUM!</v>
      </c>
    </row>
    <row r="91" spans="3:7" x14ac:dyDescent="0.4">
      <c r="C91">
        <f t="shared" si="7"/>
        <v>385</v>
      </c>
      <c r="F91">
        <f t="shared" si="5"/>
        <v>-60</v>
      </c>
      <c r="G91" t="e">
        <f t="shared" si="6"/>
        <v>#NUM!</v>
      </c>
    </row>
    <row r="92" spans="3:7" x14ac:dyDescent="0.4">
      <c r="C92">
        <f t="shared" si="7"/>
        <v>390</v>
      </c>
      <c r="F92">
        <f t="shared" si="5"/>
        <v>-60</v>
      </c>
      <c r="G92" t="e">
        <f t="shared" si="6"/>
        <v>#NUM!</v>
      </c>
    </row>
    <row r="93" spans="3:7" x14ac:dyDescent="0.4">
      <c r="C93">
        <f t="shared" si="7"/>
        <v>395</v>
      </c>
      <c r="F93">
        <f t="shared" si="5"/>
        <v>-60</v>
      </c>
      <c r="G93" t="e">
        <f t="shared" si="6"/>
        <v>#NUM!</v>
      </c>
    </row>
    <row r="94" spans="3:7" x14ac:dyDescent="0.4">
      <c r="C94">
        <f t="shared" si="7"/>
        <v>400</v>
      </c>
      <c r="F94">
        <f t="shared" si="5"/>
        <v>-60</v>
      </c>
      <c r="G94" t="e">
        <f t="shared" si="6"/>
        <v>#NUM!</v>
      </c>
    </row>
    <row r="95" spans="3:7" x14ac:dyDescent="0.4">
      <c r="C95">
        <f t="shared" si="7"/>
        <v>405</v>
      </c>
      <c r="F95">
        <f t="shared" si="5"/>
        <v>-60</v>
      </c>
      <c r="G95" t="e">
        <f t="shared" si="6"/>
        <v>#NUM!</v>
      </c>
    </row>
    <row r="96" spans="3:7" x14ac:dyDescent="0.4">
      <c r="C96">
        <f t="shared" si="7"/>
        <v>410</v>
      </c>
      <c r="F96">
        <f t="shared" si="5"/>
        <v>-60</v>
      </c>
      <c r="G96" t="e">
        <f t="shared" si="6"/>
        <v>#NUM!</v>
      </c>
    </row>
    <row r="97" spans="3:7" x14ac:dyDescent="0.4">
      <c r="C97">
        <f t="shared" si="7"/>
        <v>415</v>
      </c>
      <c r="F97">
        <f t="shared" si="5"/>
        <v>-60</v>
      </c>
      <c r="G97" t="e">
        <f t="shared" si="6"/>
        <v>#NUM!</v>
      </c>
    </row>
    <row r="98" spans="3:7" x14ac:dyDescent="0.4">
      <c r="C98">
        <f t="shared" si="7"/>
        <v>420</v>
      </c>
      <c r="F98">
        <f t="shared" si="5"/>
        <v>-60</v>
      </c>
      <c r="G98" t="e">
        <f t="shared" si="6"/>
        <v>#NUM!</v>
      </c>
    </row>
    <row r="99" spans="3:7" x14ac:dyDescent="0.4">
      <c r="C99">
        <f t="shared" si="7"/>
        <v>425</v>
      </c>
      <c r="F99">
        <f t="shared" si="5"/>
        <v>-60</v>
      </c>
      <c r="G99" t="e">
        <f t="shared" si="6"/>
        <v>#NUM!</v>
      </c>
    </row>
    <row r="100" spans="3:7" x14ac:dyDescent="0.4">
      <c r="C100">
        <f t="shared" si="7"/>
        <v>430</v>
      </c>
      <c r="F100">
        <f t="shared" si="5"/>
        <v>-60</v>
      </c>
      <c r="G100" t="e">
        <f t="shared" si="6"/>
        <v>#NUM!</v>
      </c>
    </row>
    <row r="101" spans="3:7" x14ac:dyDescent="0.4">
      <c r="C101">
        <f t="shared" si="7"/>
        <v>435</v>
      </c>
      <c r="F101">
        <f t="shared" si="5"/>
        <v>-60</v>
      </c>
      <c r="G101" t="e">
        <f t="shared" si="6"/>
        <v>#NUM!</v>
      </c>
    </row>
    <row r="103" spans="3:7" x14ac:dyDescent="0.4">
      <c r="F103">
        <f t="shared" ref="F103:F143" si="8">E103*1000-$E$2</f>
        <v>-60</v>
      </c>
      <c r="G103" t="e">
        <f t="shared" ref="G103:G143" si="9">1/($E$4+$E$5*LN(F103)+$E$6*LN(E103)^3)-273.15</f>
        <v>#NUM!</v>
      </c>
    </row>
    <row r="104" spans="3:7" x14ac:dyDescent="0.4">
      <c r="F104">
        <f t="shared" si="8"/>
        <v>-60</v>
      </c>
      <c r="G104" t="e">
        <f t="shared" si="9"/>
        <v>#NUM!</v>
      </c>
    </row>
    <row r="105" spans="3:7" x14ac:dyDescent="0.4">
      <c r="F105">
        <f t="shared" si="8"/>
        <v>-60</v>
      </c>
      <c r="G105" t="e">
        <f t="shared" si="9"/>
        <v>#NUM!</v>
      </c>
    </row>
    <row r="106" spans="3:7" x14ac:dyDescent="0.4">
      <c r="F106">
        <f t="shared" si="8"/>
        <v>-60</v>
      </c>
      <c r="G106" t="e">
        <f t="shared" si="9"/>
        <v>#NUM!</v>
      </c>
    </row>
    <row r="107" spans="3:7" x14ac:dyDescent="0.4">
      <c r="F107">
        <f t="shared" si="8"/>
        <v>-60</v>
      </c>
      <c r="G107" t="e">
        <f t="shared" si="9"/>
        <v>#NUM!</v>
      </c>
    </row>
    <row r="108" spans="3:7" x14ac:dyDescent="0.4">
      <c r="F108">
        <f t="shared" si="8"/>
        <v>-60</v>
      </c>
      <c r="G108" t="e">
        <f t="shared" si="9"/>
        <v>#NUM!</v>
      </c>
    </row>
    <row r="109" spans="3:7" x14ac:dyDescent="0.4">
      <c r="F109">
        <f t="shared" si="8"/>
        <v>-60</v>
      </c>
      <c r="G109" t="e">
        <f t="shared" si="9"/>
        <v>#NUM!</v>
      </c>
    </row>
    <row r="110" spans="3:7" x14ac:dyDescent="0.4">
      <c r="F110">
        <f t="shared" si="8"/>
        <v>-60</v>
      </c>
      <c r="G110" t="e">
        <f t="shared" si="9"/>
        <v>#NUM!</v>
      </c>
    </row>
    <row r="111" spans="3:7" x14ac:dyDescent="0.4">
      <c r="F111">
        <f t="shared" si="8"/>
        <v>-60</v>
      </c>
      <c r="G111" t="e">
        <f t="shared" si="9"/>
        <v>#NUM!</v>
      </c>
    </row>
    <row r="112" spans="3:7" x14ac:dyDescent="0.4">
      <c r="F112">
        <f t="shared" si="8"/>
        <v>-60</v>
      </c>
      <c r="G112" t="e">
        <f t="shared" si="9"/>
        <v>#NUM!</v>
      </c>
    </row>
    <row r="113" spans="6:7" x14ac:dyDescent="0.4">
      <c r="F113">
        <f t="shared" si="8"/>
        <v>-60</v>
      </c>
      <c r="G113" t="e">
        <f t="shared" si="9"/>
        <v>#NUM!</v>
      </c>
    </row>
    <row r="114" spans="6:7" x14ac:dyDescent="0.4">
      <c r="F114">
        <f t="shared" si="8"/>
        <v>-60</v>
      </c>
      <c r="G114" t="e">
        <f t="shared" si="9"/>
        <v>#NUM!</v>
      </c>
    </row>
    <row r="115" spans="6:7" x14ac:dyDescent="0.4">
      <c r="F115">
        <f t="shared" si="8"/>
        <v>-60</v>
      </c>
      <c r="G115" t="e">
        <f t="shared" si="9"/>
        <v>#NUM!</v>
      </c>
    </row>
    <row r="116" spans="6:7" x14ac:dyDescent="0.4">
      <c r="F116">
        <f t="shared" si="8"/>
        <v>-60</v>
      </c>
      <c r="G116" t="e">
        <f t="shared" si="9"/>
        <v>#NUM!</v>
      </c>
    </row>
    <row r="117" spans="6:7" x14ac:dyDescent="0.4">
      <c r="F117">
        <f t="shared" si="8"/>
        <v>-60</v>
      </c>
      <c r="G117" t="e">
        <f t="shared" si="9"/>
        <v>#NUM!</v>
      </c>
    </row>
    <row r="118" spans="6:7" x14ac:dyDescent="0.4">
      <c r="F118">
        <f t="shared" si="8"/>
        <v>-60</v>
      </c>
      <c r="G118" t="e">
        <f t="shared" si="9"/>
        <v>#NUM!</v>
      </c>
    </row>
    <row r="119" spans="6:7" x14ac:dyDescent="0.4">
      <c r="F119">
        <f t="shared" si="8"/>
        <v>-60</v>
      </c>
      <c r="G119" t="e">
        <f t="shared" si="9"/>
        <v>#NUM!</v>
      </c>
    </row>
    <row r="120" spans="6:7" x14ac:dyDescent="0.4">
      <c r="F120">
        <f t="shared" si="8"/>
        <v>-60</v>
      </c>
      <c r="G120" t="e">
        <f t="shared" si="9"/>
        <v>#NUM!</v>
      </c>
    </row>
    <row r="121" spans="6:7" x14ac:dyDescent="0.4">
      <c r="F121">
        <f t="shared" si="8"/>
        <v>-60</v>
      </c>
      <c r="G121" t="e">
        <f t="shared" si="9"/>
        <v>#NUM!</v>
      </c>
    </row>
    <row r="122" spans="6:7" x14ac:dyDescent="0.4">
      <c r="F122">
        <f t="shared" si="8"/>
        <v>-60</v>
      </c>
      <c r="G122" t="e">
        <f t="shared" si="9"/>
        <v>#NUM!</v>
      </c>
    </row>
    <row r="123" spans="6:7" x14ac:dyDescent="0.4">
      <c r="F123">
        <f t="shared" si="8"/>
        <v>-60</v>
      </c>
      <c r="G123" t="e">
        <f t="shared" si="9"/>
        <v>#NUM!</v>
      </c>
    </row>
    <row r="124" spans="6:7" x14ac:dyDescent="0.4">
      <c r="F124">
        <f t="shared" si="8"/>
        <v>-60</v>
      </c>
      <c r="G124" t="e">
        <f t="shared" si="9"/>
        <v>#NUM!</v>
      </c>
    </row>
    <row r="125" spans="6:7" x14ac:dyDescent="0.4">
      <c r="F125">
        <f t="shared" si="8"/>
        <v>-60</v>
      </c>
      <c r="G125" t="e">
        <f t="shared" si="9"/>
        <v>#NUM!</v>
      </c>
    </row>
    <row r="126" spans="6:7" x14ac:dyDescent="0.4">
      <c r="F126">
        <f t="shared" si="8"/>
        <v>-60</v>
      </c>
      <c r="G126" t="e">
        <f t="shared" si="9"/>
        <v>#NUM!</v>
      </c>
    </row>
    <row r="127" spans="6:7" x14ac:dyDescent="0.4">
      <c r="F127">
        <f t="shared" si="8"/>
        <v>-60</v>
      </c>
      <c r="G127" t="e">
        <f t="shared" si="9"/>
        <v>#NUM!</v>
      </c>
    </row>
    <row r="128" spans="6:7" x14ac:dyDescent="0.4">
      <c r="F128">
        <f t="shared" si="8"/>
        <v>-60</v>
      </c>
      <c r="G128" t="e">
        <f t="shared" si="9"/>
        <v>#NUM!</v>
      </c>
    </row>
    <row r="129" spans="6:7" x14ac:dyDescent="0.4">
      <c r="F129">
        <f t="shared" si="8"/>
        <v>-60</v>
      </c>
      <c r="G129" t="e">
        <f t="shared" si="9"/>
        <v>#NUM!</v>
      </c>
    </row>
    <row r="130" spans="6:7" x14ac:dyDescent="0.4">
      <c r="F130">
        <f t="shared" si="8"/>
        <v>-60</v>
      </c>
      <c r="G130" t="e">
        <f t="shared" si="9"/>
        <v>#NUM!</v>
      </c>
    </row>
    <row r="131" spans="6:7" x14ac:dyDescent="0.4">
      <c r="F131">
        <f t="shared" si="8"/>
        <v>-60</v>
      </c>
      <c r="G131" t="e">
        <f t="shared" si="9"/>
        <v>#NUM!</v>
      </c>
    </row>
    <row r="132" spans="6:7" x14ac:dyDescent="0.4">
      <c r="F132">
        <f t="shared" si="8"/>
        <v>-60</v>
      </c>
      <c r="G132" t="e">
        <f t="shared" si="9"/>
        <v>#NUM!</v>
      </c>
    </row>
    <row r="133" spans="6:7" x14ac:dyDescent="0.4">
      <c r="F133">
        <f t="shared" si="8"/>
        <v>-60</v>
      </c>
      <c r="G133" t="e">
        <f t="shared" si="9"/>
        <v>#NUM!</v>
      </c>
    </row>
    <row r="134" spans="6:7" x14ac:dyDescent="0.4">
      <c r="F134">
        <f t="shared" si="8"/>
        <v>-60</v>
      </c>
      <c r="G134" t="e">
        <f t="shared" si="9"/>
        <v>#NUM!</v>
      </c>
    </row>
    <row r="135" spans="6:7" x14ac:dyDescent="0.4">
      <c r="F135">
        <f t="shared" si="8"/>
        <v>-60</v>
      </c>
      <c r="G135" t="e">
        <f t="shared" si="9"/>
        <v>#NUM!</v>
      </c>
    </row>
    <row r="136" spans="6:7" x14ac:dyDescent="0.4">
      <c r="F136">
        <f t="shared" si="8"/>
        <v>-60</v>
      </c>
      <c r="G136" t="e">
        <f t="shared" si="9"/>
        <v>#NUM!</v>
      </c>
    </row>
    <row r="137" spans="6:7" x14ac:dyDescent="0.4">
      <c r="F137">
        <f t="shared" si="8"/>
        <v>-60</v>
      </c>
      <c r="G137" t="e">
        <f t="shared" si="9"/>
        <v>#NUM!</v>
      </c>
    </row>
    <row r="138" spans="6:7" x14ac:dyDescent="0.4">
      <c r="F138">
        <f t="shared" si="8"/>
        <v>-60</v>
      </c>
      <c r="G138" t="e">
        <f t="shared" si="9"/>
        <v>#NUM!</v>
      </c>
    </row>
    <row r="139" spans="6:7" x14ac:dyDescent="0.4">
      <c r="F139">
        <f t="shared" si="8"/>
        <v>-60</v>
      </c>
      <c r="G139" t="e">
        <f t="shared" si="9"/>
        <v>#NUM!</v>
      </c>
    </row>
    <row r="140" spans="6:7" x14ac:dyDescent="0.4">
      <c r="F140">
        <f t="shared" si="8"/>
        <v>-60</v>
      </c>
      <c r="G140" t="e">
        <f t="shared" si="9"/>
        <v>#NUM!</v>
      </c>
    </row>
    <row r="141" spans="6:7" x14ac:dyDescent="0.4">
      <c r="F141">
        <f t="shared" si="8"/>
        <v>-60</v>
      </c>
      <c r="G141" t="e">
        <f t="shared" si="9"/>
        <v>#NUM!</v>
      </c>
    </row>
    <row r="142" spans="6:7" x14ac:dyDescent="0.4">
      <c r="F142">
        <f t="shared" si="8"/>
        <v>-60</v>
      </c>
      <c r="G142" t="e">
        <f t="shared" si="9"/>
        <v>#NUM!</v>
      </c>
    </row>
    <row r="143" spans="6:7" x14ac:dyDescent="0.4">
      <c r="F143">
        <f t="shared" si="8"/>
        <v>-60</v>
      </c>
      <c r="G143" t="e">
        <f t="shared" si="9"/>
        <v>#NUM!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19A4-6C6A-4A1B-A9EE-A0D2A4B496FE}">
  <dimension ref="B2:G143"/>
  <sheetViews>
    <sheetView tabSelected="1" zoomScaleNormal="100" workbookViewId="0">
      <selection activeCell="H8" sqref="H8"/>
    </sheetView>
  </sheetViews>
  <sheetFormatPr defaultRowHeight="18.75" x14ac:dyDescent="0.4"/>
  <cols>
    <col min="3" max="4" width="13.125" customWidth="1"/>
    <col min="5" max="6" width="11.875" customWidth="1"/>
    <col min="7" max="8" width="11.625" bestFit="1" customWidth="1"/>
  </cols>
  <sheetData>
    <row r="2" spans="2:7" x14ac:dyDescent="0.4">
      <c r="C2" t="s">
        <v>2</v>
      </c>
      <c r="E2">
        <v>60</v>
      </c>
    </row>
    <row r="3" spans="2:7" x14ac:dyDescent="0.4">
      <c r="C3" t="s">
        <v>8</v>
      </c>
    </row>
    <row r="4" spans="2:7" x14ac:dyDescent="0.4">
      <c r="C4" t="s">
        <v>5</v>
      </c>
      <c r="E4" s="1">
        <v>9.6865999999999999E-4</v>
      </c>
      <c r="F4" s="1"/>
      <c r="G4">
        <v>2.8565700000000001E-3</v>
      </c>
    </row>
    <row r="5" spans="2:7" x14ac:dyDescent="0.4">
      <c r="C5" t="s">
        <v>6</v>
      </c>
      <c r="E5" s="1">
        <v>2.6937E-4</v>
      </c>
      <c r="F5" s="1"/>
      <c r="G5">
        <v>2.90179E-4</v>
      </c>
    </row>
    <row r="6" spans="2:7" x14ac:dyDescent="0.4">
      <c r="C6" t="s">
        <v>7</v>
      </c>
      <c r="E6" s="2">
        <v>1.1656000000000001E-7</v>
      </c>
      <c r="F6" s="2"/>
      <c r="G6">
        <v>5.6804000000000005E-7</v>
      </c>
    </row>
    <row r="7" spans="2:7" x14ac:dyDescent="0.4">
      <c r="E7" t="s">
        <v>9</v>
      </c>
      <c r="G7" t="s">
        <v>10</v>
      </c>
    </row>
    <row r="9" spans="2:7" x14ac:dyDescent="0.4">
      <c r="C9" t="s">
        <v>13</v>
      </c>
      <c r="D9" t="s">
        <v>15</v>
      </c>
      <c r="E9">
        <v>1</v>
      </c>
    </row>
    <row r="10" spans="2:7" x14ac:dyDescent="0.4">
      <c r="C10" t="s">
        <v>14</v>
      </c>
      <c r="D10" t="s">
        <v>16</v>
      </c>
      <c r="E10">
        <v>1.5</v>
      </c>
    </row>
    <row r="11" spans="2:7" x14ac:dyDescent="0.4">
      <c r="C11" t="s">
        <v>17</v>
      </c>
      <c r="D11" t="s">
        <v>18</v>
      </c>
      <c r="E11">
        <f>E10-E9</f>
        <v>0.5</v>
      </c>
    </row>
    <row r="14" spans="2:7" x14ac:dyDescent="0.4">
      <c r="B14" t="s">
        <v>4</v>
      </c>
      <c r="C14" t="s">
        <v>11</v>
      </c>
      <c r="D14" t="s">
        <v>12</v>
      </c>
      <c r="E14" t="s">
        <v>0</v>
      </c>
      <c r="G14" t="s">
        <v>1</v>
      </c>
    </row>
    <row r="15" spans="2:7" x14ac:dyDescent="0.4">
      <c r="B15" s="4"/>
      <c r="C15">
        <v>34</v>
      </c>
      <c r="D15">
        <f>C15</f>
        <v>34</v>
      </c>
      <c r="E15">
        <v>9.3490000000000002</v>
      </c>
      <c r="F15">
        <f>E15*1000-$E$2</f>
        <v>9289</v>
      </c>
      <c r="G15">
        <f>1/($E$4+$E$5*LN(F15)+$E$6*LN(E15)^3)-273.15</f>
        <v>18.303079720156859</v>
      </c>
    </row>
    <row r="16" spans="2:7" x14ac:dyDescent="0.4">
      <c r="C16">
        <f>C15+2</f>
        <v>36</v>
      </c>
      <c r="D16">
        <f t="shared" ref="D16:D57" si="0">C16</f>
        <v>36</v>
      </c>
      <c r="E16">
        <v>9.4450000000000003</v>
      </c>
      <c r="F16">
        <f t="shared" ref="F16:F44" si="1">E16*1000-$E$2</f>
        <v>9385</v>
      </c>
      <c r="G16">
        <f t="shared" ref="G16:G44" si="2">1/($E$4+$E$5*LN(F16)+$E$6*LN(E16)^3)-273.15</f>
        <v>18.066485485890382</v>
      </c>
    </row>
    <row r="17" spans="3:7" x14ac:dyDescent="0.4">
      <c r="C17">
        <f t="shared" ref="C17:C80" si="3">C16+2</f>
        <v>38</v>
      </c>
      <c r="D17">
        <f t="shared" si="0"/>
        <v>38</v>
      </c>
      <c r="E17">
        <v>9.4849999999999994</v>
      </c>
      <c r="F17">
        <f t="shared" si="1"/>
        <v>9425</v>
      </c>
      <c r="G17">
        <f t="shared" si="2"/>
        <v>17.968726213743082</v>
      </c>
    </row>
    <row r="18" spans="3:7" x14ac:dyDescent="0.4">
      <c r="C18">
        <f t="shared" si="3"/>
        <v>40</v>
      </c>
      <c r="D18">
        <f t="shared" si="0"/>
        <v>40</v>
      </c>
      <c r="E18">
        <v>9.4930000000000003</v>
      </c>
      <c r="F18">
        <f t="shared" si="1"/>
        <v>9433</v>
      </c>
      <c r="G18">
        <f t="shared" si="2"/>
        <v>17.949231719023373</v>
      </c>
    </row>
    <row r="19" spans="3:7" x14ac:dyDescent="0.4">
      <c r="C19">
        <f t="shared" si="3"/>
        <v>42</v>
      </c>
      <c r="D19">
        <f t="shared" si="0"/>
        <v>42</v>
      </c>
      <c r="E19">
        <v>9.4930000000000003</v>
      </c>
      <c r="F19">
        <f t="shared" si="1"/>
        <v>9433</v>
      </c>
      <c r="G19">
        <f t="shared" si="2"/>
        <v>17.949231719023373</v>
      </c>
    </row>
    <row r="20" spans="3:7" x14ac:dyDescent="0.4">
      <c r="C20">
        <f t="shared" si="3"/>
        <v>44</v>
      </c>
      <c r="D20">
        <f t="shared" si="0"/>
        <v>44</v>
      </c>
      <c r="E20">
        <v>9.4920000000000009</v>
      </c>
      <c r="F20">
        <f t="shared" si="1"/>
        <v>9432</v>
      </c>
      <c r="G20">
        <f t="shared" si="2"/>
        <v>17.951667489004137</v>
      </c>
    </row>
    <row r="21" spans="3:7" x14ac:dyDescent="0.4">
      <c r="C21">
        <f t="shared" si="3"/>
        <v>46</v>
      </c>
      <c r="D21">
        <f t="shared" si="0"/>
        <v>46</v>
      </c>
      <c r="E21">
        <v>9.4860000000000007</v>
      </c>
      <c r="F21">
        <f t="shared" si="1"/>
        <v>9426</v>
      </c>
      <c r="G21">
        <f t="shared" si="2"/>
        <v>17.96628835956551</v>
      </c>
    </row>
    <row r="22" spans="3:7" x14ac:dyDescent="0.4">
      <c r="C22">
        <f t="shared" si="3"/>
        <v>48</v>
      </c>
      <c r="D22">
        <f t="shared" si="0"/>
        <v>48</v>
      </c>
      <c r="E22">
        <v>9.4789999999999992</v>
      </c>
      <c r="F22">
        <f t="shared" si="1"/>
        <v>9419</v>
      </c>
      <c r="G22">
        <f t="shared" si="2"/>
        <v>17.983359599539313</v>
      </c>
    </row>
    <row r="23" spans="3:7" x14ac:dyDescent="0.4">
      <c r="C23">
        <f t="shared" si="3"/>
        <v>50</v>
      </c>
      <c r="D23">
        <f t="shared" si="0"/>
        <v>50</v>
      </c>
      <c r="E23">
        <v>9.4740000000000002</v>
      </c>
      <c r="F23">
        <f t="shared" si="1"/>
        <v>9414</v>
      </c>
      <c r="G23">
        <f t="shared" si="2"/>
        <v>17.995562293816988</v>
      </c>
    </row>
    <row r="24" spans="3:7" x14ac:dyDescent="0.4">
      <c r="C24">
        <f t="shared" si="3"/>
        <v>52</v>
      </c>
      <c r="D24">
        <f t="shared" si="0"/>
        <v>52</v>
      </c>
      <c r="E24">
        <v>9.468</v>
      </c>
      <c r="F24">
        <f t="shared" si="1"/>
        <v>9408</v>
      </c>
      <c r="G24">
        <f t="shared" si="2"/>
        <v>18.010215387121264</v>
      </c>
    </row>
    <row r="25" spans="3:7" x14ac:dyDescent="0.4">
      <c r="C25">
        <f t="shared" si="3"/>
        <v>54</v>
      </c>
      <c r="D25">
        <f t="shared" si="0"/>
        <v>54</v>
      </c>
      <c r="E25">
        <v>9.4640000000000004</v>
      </c>
      <c r="F25">
        <f t="shared" si="1"/>
        <v>9404</v>
      </c>
      <c r="G25">
        <f t="shared" si="2"/>
        <v>18.019990098727419</v>
      </c>
    </row>
    <row r="26" spans="3:7" x14ac:dyDescent="0.4">
      <c r="C26">
        <f t="shared" si="3"/>
        <v>56</v>
      </c>
      <c r="D26">
        <f t="shared" si="0"/>
        <v>56</v>
      </c>
      <c r="E26">
        <v>9.4529999999999994</v>
      </c>
      <c r="F26">
        <f t="shared" si="1"/>
        <v>9393</v>
      </c>
      <c r="G26">
        <f t="shared" si="2"/>
        <v>18.046895274225335</v>
      </c>
    </row>
    <row r="27" spans="3:7" x14ac:dyDescent="0.4">
      <c r="C27">
        <f t="shared" si="3"/>
        <v>58</v>
      </c>
      <c r="D27">
        <f t="shared" si="0"/>
        <v>58</v>
      </c>
      <c r="E27">
        <v>9.4489999999999998</v>
      </c>
      <c r="F27">
        <f t="shared" si="1"/>
        <v>9389</v>
      </c>
      <c r="G27">
        <f t="shared" si="2"/>
        <v>18.056687976100704</v>
      </c>
    </row>
    <row r="28" spans="3:7" x14ac:dyDescent="0.4">
      <c r="C28">
        <f t="shared" si="3"/>
        <v>60</v>
      </c>
      <c r="D28">
        <f t="shared" si="0"/>
        <v>60</v>
      </c>
      <c r="E28">
        <v>9.4589999999999996</v>
      </c>
      <c r="F28">
        <f t="shared" si="1"/>
        <v>9399</v>
      </c>
      <c r="G28">
        <f t="shared" si="2"/>
        <v>18.032215226561675</v>
      </c>
    </row>
    <row r="29" spans="3:7" x14ac:dyDescent="0.4">
      <c r="C29">
        <f t="shared" si="3"/>
        <v>62</v>
      </c>
      <c r="D29">
        <f t="shared" si="0"/>
        <v>62</v>
      </c>
      <c r="E29">
        <v>9.484</v>
      </c>
      <c r="F29">
        <f t="shared" si="1"/>
        <v>9424</v>
      </c>
      <c r="G29">
        <f t="shared" si="2"/>
        <v>17.971164365936602</v>
      </c>
    </row>
    <row r="30" spans="3:7" x14ac:dyDescent="0.4">
      <c r="C30">
        <f t="shared" si="3"/>
        <v>64</v>
      </c>
      <c r="D30">
        <f t="shared" si="0"/>
        <v>64</v>
      </c>
      <c r="E30">
        <v>9.5079999999999991</v>
      </c>
      <c r="F30">
        <f t="shared" si="1"/>
        <v>9448</v>
      </c>
      <c r="G30">
        <f t="shared" si="2"/>
        <v>17.912730827439418</v>
      </c>
    </row>
    <row r="31" spans="3:7" x14ac:dyDescent="0.4">
      <c r="C31">
        <f t="shared" si="3"/>
        <v>66</v>
      </c>
      <c r="D31">
        <f t="shared" si="0"/>
        <v>66</v>
      </c>
      <c r="E31">
        <v>9.5310000000000006</v>
      </c>
      <c r="F31">
        <f t="shared" si="1"/>
        <v>9471</v>
      </c>
      <c r="G31">
        <f t="shared" si="2"/>
        <v>17.856892262639406</v>
      </c>
    </row>
    <row r="32" spans="3:7" x14ac:dyDescent="0.4">
      <c r="C32">
        <f t="shared" si="3"/>
        <v>68</v>
      </c>
      <c r="D32">
        <f t="shared" si="0"/>
        <v>68</v>
      </c>
      <c r="E32">
        <v>9.5519999999999996</v>
      </c>
      <c r="F32">
        <f t="shared" si="1"/>
        <v>9492</v>
      </c>
      <c r="G32">
        <f t="shared" si="2"/>
        <v>17.806045486526841</v>
      </c>
    </row>
    <row r="33" spans="3:7" x14ac:dyDescent="0.4">
      <c r="C33">
        <f t="shared" si="3"/>
        <v>70</v>
      </c>
      <c r="D33">
        <f t="shared" si="0"/>
        <v>70</v>
      </c>
      <c r="E33">
        <v>9.5719999999999992</v>
      </c>
      <c r="F33">
        <f t="shared" si="1"/>
        <v>9512</v>
      </c>
      <c r="G33">
        <f t="shared" si="2"/>
        <v>17.757740322511324</v>
      </c>
    </row>
    <row r="34" spans="3:7" x14ac:dyDescent="0.4">
      <c r="C34">
        <f t="shared" si="3"/>
        <v>72</v>
      </c>
      <c r="D34">
        <f t="shared" si="0"/>
        <v>72</v>
      </c>
      <c r="E34">
        <v>9.5939999999999994</v>
      </c>
      <c r="F34">
        <f t="shared" si="1"/>
        <v>9534</v>
      </c>
      <c r="G34">
        <f t="shared" si="2"/>
        <v>17.704739594396358</v>
      </c>
    </row>
    <row r="35" spans="3:7" x14ac:dyDescent="0.4">
      <c r="C35">
        <f t="shared" si="3"/>
        <v>74</v>
      </c>
      <c r="D35">
        <f t="shared" si="0"/>
        <v>74</v>
      </c>
      <c r="E35">
        <v>9.6219999999999999</v>
      </c>
      <c r="F35">
        <f t="shared" si="1"/>
        <v>9562</v>
      </c>
      <c r="G35">
        <f t="shared" si="2"/>
        <v>17.637487514435179</v>
      </c>
    </row>
    <row r="36" spans="3:7" x14ac:dyDescent="0.4">
      <c r="C36">
        <f t="shared" si="3"/>
        <v>76</v>
      </c>
      <c r="D36">
        <f t="shared" si="0"/>
        <v>76</v>
      </c>
      <c r="E36">
        <v>9.6430000000000007</v>
      </c>
      <c r="F36">
        <f t="shared" si="1"/>
        <v>9583</v>
      </c>
      <c r="G36">
        <f t="shared" si="2"/>
        <v>17.587197147908512</v>
      </c>
    </row>
    <row r="37" spans="3:7" x14ac:dyDescent="0.4">
      <c r="C37">
        <f t="shared" si="3"/>
        <v>78</v>
      </c>
      <c r="D37">
        <f t="shared" si="0"/>
        <v>78</v>
      </c>
      <c r="E37">
        <v>9.6690000000000005</v>
      </c>
      <c r="F37">
        <f t="shared" si="1"/>
        <v>9609</v>
      </c>
      <c r="G37">
        <f t="shared" si="2"/>
        <v>17.525108471788826</v>
      </c>
    </row>
    <row r="38" spans="3:7" x14ac:dyDescent="0.4">
      <c r="C38">
        <f t="shared" si="3"/>
        <v>80</v>
      </c>
      <c r="D38">
        <f t="shared" si="0"/>
        <v>80</v>
      </c>
      <c r="E38">
        <v>9.702</v>
      </c>
      <c r="F38">
        <f t="shared" si="1"/>
        <v>9642</v>
      </c>
      <c r="G38">
        <f t="shared" si="2"/>
        <v>17.446581698433363</v>
      </c>
    </row>
    <row r="39" spans="3:7" x14ac:dyDescent="0.4">
      <c r="C39">
        <f t="shared" si="3"/>
        <v>82</v>
      </c>
      <c r="D39">
        <f t="shared" si="0"/>
        <v>82</v>
      </c>
      <c r="E39">
        <v>9.7390000000000008</v>
      </c>
      <c r="F39">
        <f t="shared" si="1"/>
        <v>9679</v>
      </c>
      <c r="G39">
        <f t="shared" si="2"/>
        <v>17.358903800591804</v>
      </c>
    </row>
    <row r="40" spans="3:7" x14ac:dyDescent="0.4">
      <c r="C40">
        <f t="shared" si="3"/>
        <v>84</v>
      </c>
      <c r="D40">
        <f t="shared" si="0"/>
        <v>84</v>
      </c>
      <c r="E40">
        <v>9.7750000000000004</v>
      </c>
      <c r="F40">
        <f t="shared" si="1"/>
        <v>9715</v>
      </c>
      <c r="G40">
        <f t="shared" si="2"/>
        <v>17.273965299025463</v>
      </c>
    </row>
    <row r="41" spans="3:7" x14ac:dyDescent="0.4">
      <c r="C41">
        <f t="shared" si="3"/>
        <v>86</v>
      </c>
      <c r="D41">
        <f t="shared" si="0"/>
        <v>86</v>
      </c>
      <c r="E41">
        <v>9.8070000000000004</v>
      </c>
      <c r="F41">
        <f t="shared" si="1"/>
        <v>9747</v>
      </c>
      <c r="G41">
        <f t="shared" si="2"/>
        <v>17.198768159720032</v>
      </c>
    </row>
    <row r="42" spans="3:7" x14ac:dyDescent="0.4">
      <c r="C42">
        <f t="shared" si="3"/>
        <v>88</v>
      </c>
      <c r="D42">
        <f t="shared" si="0"/>
        <v>88</v>
      </c>
      <c r="E42">
        <v>9.8390000000000004</v>
      </c>
      <c r="F42">
        <f t="shared" si="1"/>
        <v>9779</v>
      </c>
      <c r="G42">
        <f t="shared" si="2"/>
        <v>17.123854792114741</v>
      </c>
    </row>
    <row r="43" spans="3:7" x14ac:dyDescent="0.4">
      <c r="C43">
        <f t="shared" si="3"/>
        <v>90</v>
      </c>
      <c r="D43">
        <f t="shared" si="0"/>
        <v>90</v>
      </c>
      <c r="E43">
        <v>9.8550000000000004</v>
      </c>
      <c r="F43">
        <f t="shared" si="1"/>
        <v>9795</v>
      </c>
      <c r="G43">
        <f t="shared" si="2"/>
        <v>17.086503895182375</v>
      </c>
    </row>
    <row r="44" spans="3:7" x14ac:dyDescent="0.4">
      <c r="C44">
        <f t="shared" si="3"/>
        <v>92</v>
      </c>
      <c r="D44">
        <f t="shared" si="0"/>
        <v>92</v>
      </c>
      <c r="E44">
        <v>9.8580000000000005</v>
      </c>
      <c r="F44">
        <f t="shared" si="1"/>
        <v>9798</v>
      </c>
      <c r="G44">
        <f t="shared" si="2"/>
        <v>17.079508423885727</v>
      </c>
    </row>
    <row r="45" spans="3:7" x14ac:dyDescent="0.4">
      <c r="C45">
        <f t="shared" si="3"/>
        <v>94</v>
      </c>
      <c r="D45">
        <f t="shared" si="0"/>
        <v>94</v>
      </c>
      <c r="E45">
        <v>9.8580000000000005</v>
      </c>
      <c r="F45">
        <f t="shared" ref="F45:F60" si="4">E45*1000-$E$2</f>
        <v>9798</v>
      </c>
      <c r="G45">
        <f t="shared" ref="G45:G60" si="5">1/($E$4+$E$5*LN(F45)+$E$6*LN(E45)^3)-273.15</f>
        <v>17.079508423885727</v>
      </c>
    </row>
    <row r="46" spans="3:7" x14ac:dyDescent="0.4">
      <c r="C46">
        <f t="shared" si="3"/>
        <v>96</v>
      </c>
      <c r="D46">
        <f t="shared" si="0"/>
        <v>96</v>
      </c>
      <c r="E46">
        <v>9.8580000000000005</v>
      </c>
      <c r="F46">
        <f t="shared" si="4"/>
        <v>9798</v>
      </c>
      <c r="G46">
        <f t="shared" si="5"/>
        <v>17.079508423885727</v>
      </c>
    </row>
    <row r="47" spans="3:7" x14ac:dyDescent="0.4">
      <c r="C47">
        <f t="shared" si="3"/>
        <v>98</v>
      </c>
      <c r="D47">
        <f t="shared" si="0"/>
        <v>98</v>
      </c>
      <c r="E47">
        <v>9.859</v>
      </c>
      <c r="F47">
        <f t="shared" si="4"/>
        <v>9799</v>
      </c>
      <c r="G47">
        <f t="shared" si="5"/>
        <v>17.077177148215696</v>
      </c>
    </row>
    <row r="48" spans="3:7" x14ac:dyDescent="0.4">
      <c r="C48">
        <f t="shared" si="3"/>
        <v>100</v>
      </c>
      <c r="D48">
        <f t="shared" si="0"/>
        <v>100</v>
      </c>
      <c r="E48">
        <v>9.859</v>
      </c>
      <c r="F48">
        <f t="shared" si="4"/>
        <v>9799</v>
      </c>
      <c r="G48">
        <f t="shared" si="5"/>
        <v>17.077177148215696</v>
      </c>
    </row>
    <row r="49" spans="3:7" x14ac:dyDescent="0.4">
      <c r="C49">
        <f t="shared" si="3"/>
        <v>102</v>
      </c>
      <c r="D49">
        <f t="shared" si="0"/>
        <v>102</v>
      </c>
      <c r="E49">
        <v>9.8580000000000005</v>
      </c>
      <c r="F49">
        <f t="shared" si="4"/>
        <v>9798</v>
      </c>
      <c r="G49">
        <f t="shared" si="5"/>
        <v>17.079508423885727</v>
      </c>
    </row>
    <row r="50" spans="3:7" x14ac:dyDescent="0.4">
      <c r="C50">
        <f t="shared" si="3"/>
        <v>104</v>
      </c>
      <c r="D50">
        <f t="shared" si="0"/>
        <v>104</v>
      </c>
      <c r="E50">
        <v>9.86</v>
      </c>
      <c r="F50">
        <f t="shared" si="4"/>
        <v>9800</v>
      </c>
      <c r="G50">
        <f t="shared" si="5"/>
        <v>17.074846146492632</v>
      </c>
    </row>
    <row r="51" spans="3:7" x14ac:dyDescent="0.4">
      <c r="C51">
        <f t="shared" si="3"/>
        <v>106</v>
      </c>
      <c r="D51">
        <f t="shared" si="0"/>
        <v>106</v>
      </c>
      <c r="E51">
        <v>9.859</v>
      </c>
      <c r="F51">
        <f t="shared" si="4"/>
        <v>9799</v>
      </c>
      <c r="G51">
        <f t="shared" si="5"/>
        <v>17.077177148215696</v>
      </c>
    </row>
    <row r="52" spans="3:7" x14ac:dyDescent="0.4">
      <c r="C52">
        <f t="shared" si="3"/>
        <v>108</v>
      </c>
      <c r="D52">
        <f t="shared" si="0"/>
        <v>108</v>
      </c>
      <c r="E52">
        <v>9.859</v>
      </c>
      <c r="F52">
        <f t="shared" si="4"/>
        <v>9799</v>
      </c>
      <c r="G52">
        <f t="shared" si="5"/>
        <v>17.077177148215696</v>
      </c>
    </row>
    <row r="53" spans="3:7" x14ac:dyDescent="0.4">
      <c r="C53">
        <f t="shared" si="3"/>
        <v>110</v>
      </c>
      <c r="D53">
        <f t="shared" si="0"/>
        <v>110</v>
      </c>
      <c r="E53">
        <v>9.8670000000000009</v>
      </c>
      <c r="F53">
        <f t="shared" si="4"/>
        <v>9807</v>
      </c>
      <c r="G53">
        <f t="shared" si="5"/>
        <v>17.058536799867227</v>
      </c>
    </row>
    <row r="54" spans="3:7" x14ac:dyDescent="0.4">
      <c r="C54">
        <f t="shared" si="3"/>
        <v>112</v>
      </c>
      <c r="D54">
        <f t="shared" si="0"/>
        <v>112</v>
      </c>
      <c r="E54">
        <v>9.8580000000000005</v>
      </c>
      <c r="F54">
        <f t="shared" si="4"/>
        <v>9798</v>
      </c>
      <c r="G54">
        <f t="shared" si="5"/>
        <v>17.079508423885727</v>
      </c>
    </row>
    <row r="55" spans="3:7" x14ac:dyDescent="0.4">
      <c r="C55">
        <f t="shared" si="3"/>
        <v>114</v>
      </c>
      <c r="D55">
        <f t="shared" si="0"/>
        <v>114</v>
      </c>
      <c r="E55">
        <v>9.8620000000000001</v>
      </c>
      <c r="F55">
        <f t="shared" si="4"/>
        <v>9802</v>
      </c>
      <c r="G55">
        <f t="shared" si="5"/>
        <v>17.070184964645421</v>
      </c>
    </row>
    <row r="56" spans="3:7" x14ac:dyDescent="0.4">
      <c r="C56">
        <f t="shared" si="3"/>
        <v>116</v>
      </c>
      <c r="D56">
        <f t="shared" si="0"/>
        <v>116</v>
      </c>
      <c r="E56">
        <v>9.8659999999999997</v>
      </c>
      <c r="F56">
        <f t="shared" si="4"/>
        <v>9806</v>
      </c>
      <c r="G56">
        <f t="shared" si="5"/>
        <v>17.060865885654209</v>
      </c>
    </row>
    <row r="57" spans="3:7" x14ac:dyDescent="0.4">
      <c r="C57">
        <f t="shared" si="3"/>
        <v>118</v>
      </c>
      <c r="D57">
        <f t="shared" si="0"/>
        <v>118</v>
      </c>
      <c r="E57">
        <v>9.8650000000000002</v>
      </c>
      <c r="F57">
        <f t="shared" si="4"/>
        <v>9805</v>
      </c>
      <c r="G57">
        <f t="shared" si="5"/>
        <v>17.063195244965129</v>
      </c>
    </row>
    <row r="58" spans="3:7" x14ac:dyDescent="0.4">
      <c r="C58">
        <f t="shared" si="3"/>
        <v>120</v>
      </c>
      <c r="D58">
        <v>120</v>
      </c>
      <c r="E58">
        <v>9.8650000000000002</v>
      </c>
      <c r="F58">
        <f t="shared" si="4"/>
        <v>9805</v>
      </c>
      <c r="G58">
        <f t="shared" si="5"/>
        <v>17.063195244965129</v>
      </c>
    </row>
    <row r="59" spans="3:7" x14ac:dyDescent="0.4">
      <c r="C59">
        <f t="shared" si="3"/>
        <v>122</v>
      </c>
      <c r="D59">
        <v>122</v>
      </c>
      <c r="E59">
        <v>9.8650000000000002</v>
      </c>
      <c r="F59">
        <f t="shared" si="4"/>
        <v>9805</v>
      </c>
      <c r="G59">
        <f t="shared" si="5"/>
        <v>17.063195244965129</v>
      </c>
    </row>
    <row r="60" spans="3:7" x14ac:dyDescent="0.4">
      <c r="C60">
        <f t="shared" si="3"/>
        <v>124</v>
      </c>
      <c r="D60">
        <v>124</v>
      </c>
      <c r="E60">
        <v>9.8650000000000002</v>
      </c>
      <c r="F60">
        <f t="shared" si="4"/>
        <v>9805</v>
      </c>
      <c r="G60">
        <f t="shared" si="5"/>
        <v>17.063195244965129</v>
      </c>
    </row>
    <row r="61" spans="3:7" x14ac:dyDescent="0.4">
      <c r="C61">
        <f t="shared" si="3"/>
        <v>126</v>
      </c>
      <c r="D61">
        <v>126</v>
      </c>
      <c r="E61">
        <v>9.8650000000000002</v>
      </c>
      <c r="F61">
        <f t="shared" ref="F61:F77" si="6">E61*1000-$E$2</f>
        <v>9805</v>
      </c>
      <c r="G61">
        <f t="shared" ref="G61:G77" si="7">1/($E$4+$E$5*LN(F61)+$E$6*LN(E61)^3)-273.15</f>
        <v>17.063195244965129</v>
      </c>
    </row>
    <row r="62" spans="3:7" x14ac:dyDescent="0.4">
      <c r="C62">
        <f t="shared" si="3"/>
        <v>128</v>
      </c>
      <c r="D62">
        <v>128</v>
      </c>
      <c r="E62">
        <v>9.8650000000000002</v>
      </c>
      <c r="F62">
        <f t="shared" si="6"/>
        <v>9805</v>
      </c>
      <c r="G62">
        <f t="shared" si="7"/>
        <v>17.063195244965129</v>
      </c>
    </row>
    <row r="63" spans="3:7" x14ac:dyDescent="0.4">
      <c r="C63">
        <f t="shared" si="3"/>
        <v>130</v>
      </c>
      <c r="D63">
        <v>130</v>
      </c>
      <c r="E63">
        <v>9.8650000000000002</v>
      </c>
      <c r="F63">
        <f t="shared" si="6"/>
        <v>9805</v>
      </c>
      <c r="G63">
        <f t="shared" si="7"/>
        <v>17.063195244965129</v>
      </c>
    </row>
    <row r="64" spans="3:7" x14ac:dyDescent="0.4">
      <c r="C64">
        <f t="shared" si="3"/>
        <v>132</v>
      </c>
      <c r="F64">
        <f t="shared" si="6"/>
        <v>-60</v>
      </c>
      <c r="G64" t="e">
        <f t="shared" si="7"/>
        <v>#NUM!</v>
      </c>
    </row>
    <row r="65" spans="3:7" x14ac:dyDescent="0.4">
      <c r="C65">
        <f t="shared" si="3"/>
        <v>134</v>
      </c>
      <c r="F65">
        <f t="shared" si="6"/>
        <v>-60</v>
      </c>
      <c r="G65" t="e">
        <f t="shared" si="7"/>
        <v>#NUM!</v>
      </c>
    </row>
    <row r="66" spans="3:7" x14ac:dyDescent="0.4">
      <c r="C66">
        <f t="shared" si="3"/>
        <v>136</v>
      </c>
      <c r="F66">
        <f t="shared" si="6"/>
        <v>-60</v>
      </c>
      <c r="G66" t="e">
        <f t="shared" si="7"/>
        <v>#NUM!</v>
      </c>
    </row>
    <row r="67" spans="3:7" x14ac:dyDescent="0.4">
      <c r="C67">
        <f t="shared" si="3"/>
        <v>138</v>
      </c>
      <c r="F67">
        <f t="shared" si="6"/>
        <v>-60</v>
      </c>
      <c r="G67" t="e">
        <f t="shared" si="7"/>
        <v>#NUM!</v>
      </c>
    </row>
    <row r="68" spans="3:7" x14ac:dyDescent="0.4">
      <c r="C68">
        <f t="shared" si="3"/>
        <v>140</v>
      </c>
      <c r="F68">
        <f t="shared" si="6"/>
        <v>-60</v>
      </c>
      <c r="G68" t="e">
        <f t="shared" si="7"/>
        <v>#NUM!</v>
      </c>
    </row>
    <row r="69" spans="3:7" x14ac:dyDescent="0.4">
      <c r="C69">
        <f t="shared" si="3"/>
        <v>142</v>
      </c>
      <c r="F69">
        <f t="shared" si="6"/>
        <v>-60</v>
      </c>
      <c r="G69" t="e">
        <f t="shared" si="7"/>
        <v>#NUM!</v>
      </c>
    </row>
    <row r="70" spans="3:7" x14ac:dyDescent="0.4">
      <c r="C70">
        <f t="shared" si="3"/>
        <v>144</v>
      </c>
      <c r="F70">
        <f t="shared" si="6"/>
        <v>-60</v>
      </c>
      <c r="G70" t="e">
        <f t="shared" si="7"/>
        <v>#NUM!</v>
      </c>
    </row>
    <row r="71" spans="3:7" x14ac:dyDescent="0.4">
      <c r="C71">
        <f t="shared" si="3"/>
        <v>146</v>
      </c>
      <c r="F71">
        <f t="shared" si="6"/>
        <v>-60</v>
      </c>
      <c r="G71" t="e">
        <f t="shared" si="7"/>
        <v>#NUM!</v>
      </c>
    </row>
    <row r="72" spans="3:7" x14ac:dyDescent="0.4">
      <c r="C72">
        <f t="shared" si="3"/>
        <v>148</v>
      </c>
      <c r="F72">
        <f t="shared" si="6"/>
        <v>-60</v>
      </c>
      <c r="G72" t="e">
        <f t="shared" si="7"/>
        <v>#NUM!</v>
      </c>
    </row>
    <row r="73" spans="3:7" x14ac:dyDescent="0.4">
      <c r="C73">
        <f t="shared" si="3"/>
        <v>150</v>
      </c>
      <c r="F73">
        <f t="shared" si="6"/>
        <v>-60</v>
      </c>
      <c r="G73" t="e">
        <f t="shared" si="7"/>
        <v>#NUM!</v>
      </c>
    </row>
    <row r="74" spans="3:7" x14ac:dyDescent="0.4">
      <c r="C74">
        <f t="shared" si="3"/>
        <v>152</v>
      </c>
      <c r="F74">
        <f t="shared" si="6"/>
        <v>-60</v>
      </c>
      <c r="G74" t="e">
        <f t="shared" si="7"/>
        <v>#NUM!</v>
      </c>
    </row>
    <row r="75" spans="3:7" x14ac:dyDescent="0.4">
      <c r="C75">
        <f t="shared" si="3"/>
        <v>154</v>
      </c>
      <c r="F75">
        <f t="shared" si="6"/>
        <v>-60</v>
      </c>
      <c r="G75" t="e">
        <f t="shared" si="7"/>
        <v>#NUM!</v>
      </c>
    </row>
    <row r="76" spans="3:7" x14ac:dyDescent="0.4">
      <c r="C76">
        <f t="shared" si="3"/>
        <v>156</v>
      </c>
      <c r="F76">
        <f t="shared" si="6"/>
        <v>-60</v>
      </c>
      <c r="G76" t="e">
        <f t="shared" si="7"/>
        <v>#NUM!</v>
      </c>
    </row>
    <row r="77" spans="3:7" x14ac:dyDescent="0.4">
      <c r="C77">
        <f t="shared" si="3"/>
        <v>158</v>
      </c>
      <c r="F77">
        <f t="shared" si="6"/>
        <v>-60</v>
      </c>
      <c r="G77" t="e">
        <f t="shared" si="7"/>
        <v>#NUM!</v>
      </c>
    </row>
    <row r="78" spans="3:7" x14ac:dyDescent="0.4">
      <c r="C78">
        <f t="shared" si="3"/>
        <v>160</v>
      </c>
      <c r="F78">
        <f t="shared" ref="F78:F87" si="8">E78*1000-$E$2</f>
        <v>-60</v>
      </c>
      <c r="G78" t="e">
        <f t="shared" ref="G78:G87" si="9">1/($E$4+$E$5*LN(F78)+$E$6*LN(E78)^3)-273.15</f>
        <v>#NUM!</v>
      </c>
    </row>
    <row r="79" spans="3:7" x14ac:dyDescent="0.4">
      <c r="C79">
        <f t="shared" si="3"/>
        <v>162</v>
      </c>
      <c r="F79">
        <f t="shared" si="8"/>
        <v>-60</v>
      </c>
      <c r="G79" t="e">
        <f t="shared" si="9"/>
        <v>#NUM!</v>
      </c>
    </row>
    <row r="80" spans="3:7" x14ac:dyDescent="0.4">
      <c r="C80">
        <f t="shared" si="3"/>
        <v>164</v>
      </c>
      <c r="F80">
        <f t="shared" si="8"/>
        <v>-60</v>
      </c>
      <c r="G80" t="e">
        <f t="shared" si="9"/>
        <v>#NUM!</v>
      </c>
    </row>
    <row r="81" spans="3:7" x14ac:dyDescent="0.4">
      <c r="C81">
        <f t="shared" ref="C81:C92" si="10">C80+2</f>
        <v>166</v>
      </c>
      <c r="F81">
        <f t="shared" si="8"/>
        <v>-60</v>
      </c>
      <c r="G81" t="e">
        <f t="shared" si="9"/>
        <v>#NUM!</v>
      </c>
    </row>
    <row r="82" spans="3:7" x14ac:dyDescent="0.4">
      <c r="C82">
        <f t="shared" si="10"/>
        <v>168</v>
      </c>
      <c r="F82">
        <f t="shared" si="8"/>
        <v>-60</v>
      </c>
      <c r="G82" t="e">
        <f t="shared" si="9"/>
        <v>#NUM!</v>
      </c>
    </row>
    <row r="83" spans="3:7" x14ac:dyDescent="0.4">
      <c r="C83">
        <f t="shared" si="10"/>
        <v>170</v>
      </c>
      <c r="F83">
        <f t="shared" si="8"/>
        <v>-60</v>
      </c>
      <c r="G83" t="e">
        <f t="shared" si="9"/>
        <v>#NUM!</v>
      </c>
    </row>
    <row r="84" spans="3:7" x14ac:dyDescent="0.4">
      <c r="C84">
        <f t="shared" si="10"/>
        <v>172</v>
      </c>
      <c r="F84">
        <f t="shared" si="8"/>
        <v>-60</v>
      </c>
      <c r="G84" t="e">
        <f t="shared" si="9"/>
        <v>#NUM!</v>
      </c>
    </row>
    <row r="85" spans="3:7" x14ac:dyDescent="0.4">
      <c r="C85">
        <f t="shared" si="10"/>
        <v>174</v>
      </c>
      <c r="F85">
        <f t="shared" si="8"/>
        <v>-60</v>
      </c>
      <c r="G85" t="e">
        <f t="shared" si="9"/>
        <v>#NUM!</v>
      </c>
    </row>
    <row r="86" spans="3:7" x14ac:dyDescent="0.4">
      <c r="C86">
        <f t="shared" si="10"/>
        <v>176</v>
      </c>
      <c r="F86">
        <f t="shared" si="8"/>
        <v>-60</v>
      </c>
      <c r="G86" t="e">
        <f t="shared" si="9"/>
        <v>#NUM!</v>
      </c>
    </row>
    <row r="87" spans="3:7" x14ac:dyDescent="0.4">
      <c r="C87">
        <f t="shared" si="10"/>
        <v>178</v>
      </c>
      <c r="F87">
        <f t="shared" si="8"/>
        <v>-60</v>
      </c>
      <c r="G87" t="e">
        <f t="shared" si="9"/>
        <v>#NUM!</v>
      </c>
    </row>
    <row r="88" spans="3:7" x14ac:dyDescent="0.4">
      <c r="C88">
        <f t="shared" si="10"/>
        <v>180</v>
      </c>
      <c r="F88">
        <f t="shared" ref="F88:F101" si="11">E88*1000-$E$2</f>
        <v>-60</v>
      </c>
      <c r="G88" t="e">
        <f t="shared" ref="G88:G101" si="12">1/($E$4+$E$5*LN(F88)+$E$6*LN(E88)^3)-273.15</f>
        <v>#NUM!</v>
      </c>
    </row>
    <row r="89" spans="3:7" x14ac:dyDescent="0.4">
      <c r="C89">
        <f t="shared" si="10"/>
        <v>182</v>
      </c>
      <c r="F89">
        <f t="shared" si="11"/>
        <v>-60</v>
      </c>
      <c r="G89" t="e">
        <f t="shared" si="12"/>
        <v>#NUM!</v>
      </c>
    </row>
    <row r="90" spans="3:7" x14ac:dyDescent="0.4">
      <c r="C90">
        <f t="shared" si="10"/>
        <v>184</v>
      </c>
      <c r="F90">
        <f t="shared" si="11"/>
        <v>-60</v>
      </c>
      <c r="G90" t="e">
        <f t="shared" si="12"/>
        <v>#NUM!</v>
      </c>
    </row>
    <row r="91" spans="3:7" x14ac:dyDescent="0.4">
      <c r="C91">
        <f t="shared" si="10"/>
        <v>186</v>
      </c>
      <c r="F91">
        <f t="shared" si="11"/>
        <v>-60</v>
      </c>
      <c r="G91" t="e">
        <f t="shared" si="12"/>
        <v>#NUM!</v>
      </c>
    </row>
    <row r="92" spans="3:7" x14ac:dyDescent="0.4">
      <c r="C92">
        <f t="shared" si="10"/>
        <v>188</v>
      </c>
      <c r="F92">
        <f t="shared" si="11"/>
        <v>-60</v>
      </c>
      <c r="G92" t="e">
        <f t="shared" si="12"/>
        <v>#NUM!</v>
      </c>
    </row>
    <row r="93" spans="3:7" x14ac:dyDescent="0.4">
      <c r="C93">
        <f t="shared" ref="C93:C97" si="13">C92+5</f>
        <v>193</v>
      </c>
      <c r="F93">
        <f t="shared" si="11"/>
        <v>-60</v>
      </c>
      <c r="G93" t="e">
        <f t="shared" si="12"/>
        <v>#NUM!</v>
      </c>
    </row>
    <row r="94" spans="3:7" x14ac:dyDescent="0.4">
      <c r="C94">
        <f t="shared" si="13"/>
        <v>198</v>
      </c>
      <c r="F94">
        <f t="shared" si="11"/>
        <v>-60</v>
      </c>
      <c r="G94" t="e">
        <f t="shared" si="12"/>
        <v>#NUM!</v>
      </c>
    </row>
    <row r="95" spans="3:7" x14ac:dyDescent="0.4">
      <c r="C95">
        <f t="shared" si="13"/>
        <v>203</v>
      </c>
      <c r="F95">
        <f t="shared" si="11"/>
        <v>-60</v>
      </c>
      <c r="G95" t="e">
        <f t="shared" si="12"/>
        <v>#NUM!</v>
      </c>
    </row>
    <row r="96" spans="3:7" x14ac:dyDescent="0.4">
      <c r="C96">
        <f t="shared" si="13"/>
        <v>208</v>
      </c>
      <c r="F96">
        <f t="shared" si="11"/>
        <v>-60</v>
      </c>
      <c r="G96" t="e">
        <f t="shared" si="12"/>
        <v>#NUM!</v>
      </c>
    </row>
    <row r="97" spans="3:7" x14ac:dyDescent="0.4">
      <c r="C97">
        <f t="shared" si="13"/>
        <v>213</v>
      </c>
      <c r="F97">
        <f t="shared" si="11"/>
        <v>-60</v>
      </c>
      <c r="G97" t="e">
        <f t="shared" si="12"/>
        <v>#NUM!</v>
      </c>
    </row>
    <row r="98" spans="3:7" x14ac:dyDescent="0.4">
      <c r="C98">
        <v>400</v>
      </c>
      <c r="F98">
        <f t="shared" si="11"/>
        <v>-60</v>
      </c>
      <c r="G98" t="e">
        <f t="shared" si="12"/>
        <v>#NUM!</v>
      </c>
    </row>
    <row r="99" spans="3:7" x14ac:dyDescent="0.4">
      <c r="C99">
        <v>300</v>
      </c>
      <c r="F99">
        <f t="shared" si="11"/>
        <v>-60</v>
      </c>
      <c r="G99" t="e">
        <f t="shared" si="12"/>
        <v>#NUM!</v>
      </c>
    </row>
    <row r="100" spans="3:7" x14ac:dyDescent="0.4">
      <c r="C100">
        <v>200</v>
      </c>
      <c r="F100">
        <f t="shared" si="11"/>
        <v>-60</v>
      </c>
      <c r="G100" t="e">
        <f t="shared" si="12"/>
        <v>#NUM!</v>
      </c>
    </row>
    <row r="101" spans="3:7" x14ac:dyDescent="0.4">
      <c r="C101">
        <v>100</v>
      </c>
      <c r="F101">
        <f t="shared" si="11"/>
        <v>-60</v>
      </c>
      <c r="G101" t="e">
        <f t="shared" si="12"/>
        <v>#NUM!</v>
      </c>
    </row>
    <row r="103" spans="3:7" x14ac:dyDescent="0.4">
      <c r="F103">
        <f t="shared" ref="F103:F143" si="14">E103*1000-$E$2</f>
        <v>-60</v>
      </c>
      <c r="G103" t="e">
        <f t="shared" ref="G103:G143" si="15">1/($E$4+$E$5*LN(F103)+$E$6*LN(E103)^3)-273.15</f>
        <v>#NUM!</v>
      </c>
    </row>
    <row r="104" spans="3:7" x14ac:dyDescent="0.4">
      <c r="F104">
        <f t="shared" si="14"/>
        <v>-60</v>
      </c>
      <c r="G104" t="e">
        <f t="shared" si="15"/>
        <v>#NUM!</v>
      </c>
    </row>
    <row r="105" spans="3:7" x14ac:dyDescent="0.4">
      <c r="F105">
        <f t="shared" si="14"/>
        <v>-60</v>
      </c>
      <c r="G105" t="e">
        <f t="shared" si="15"/>
        <v>#NUM!</v>
      </c>
    </row>
    <row r="106" spans="3:7" x14ac:dyDescent="0.4">
      <c r="F106">
        <f t="shared" si="14"/>
        <v>-60</v>
      </c>
      <c r="G106" t="e">
        <f t="shared" si="15"/>
        <v>#NUM!</v>
      </c>
    </row>
    <row r="107" spans="3:7" x14ac:dyDescent="0.4">
      <c r="F107">
        <f t="shared" si="14"/>
        <v>-60</v>
      </c>
      <c r="G107" t="e">
        <f t="shared" si="15"/>
        <v>#NUM!</v>
      </c>
    </row>
    <row r="108" spans="3:7" x14ac:dyDescent="0.4">
      <c r="F108">
        <f t="shared" si="14"/>
        <v>-60</v>
      </c>
      <c r="G108" t="e">
        <f t="shared" si="15"/>
        <v>#NUM!</v>
      </c>
    </row>
    <row r="109" spans="3:7" x14ac:dyDescent="0.4">
      <c r="F109">
        <f t="shared" si="14"/>
        <v>-60</v>
      </c>
      <c r="G109" t="e">
        <f t="shared" si="15"/>
        <v>#NUM!</v>
      </c>
    </row>
    <row r="110" spans="3:7" x14ac:dyDescent="0.4">
      <c r="F110">
        <f t="shared" si="14"/>
        <v>-60</v>
      </c>
      <c r="G110" t="e">
        <f t="shared" si="15"/>
        <v>#NUM!</v>
      </c>
    </row>
    <row r="111" spans="3:7" x14ac:dyDescent="0.4">
      <c r="F111">
        <f t="shared" si="14"/>
        <v>-60</v>
      </c>
      <c r="G111" t="e">
        <f t="shared" si="15"/>
        <v>#NUM!</v>
      </c>
    </row>
    <row r="112" spans="3:7" x14ac:dyDescent="0.4">
      <c r="F112">
        <f t="shared" si="14"/>
        <v>-60</v>
      </c>
      <c r="G112" t="e">
        <f t="shared" si="15"/>
        <v>#NUM!</v>
      </c>
    </row>
    <row r="113" spans="6:7" x14ac:dyDescent="0.4">
      <c r="F113">
        <f t="shared" si="14"/>
        <v>-60</v>
      </c>
      <c r="G113" t="e">
        <f t="shared" si="15"/>
        <v>#NUM!</v>
      </c>
    </row>
    <row r="114" spans="6:7" x14ac:dyDescent="0.4">
      <c r="F114">
        <f t="shared" si="14"/>
        <v>-60</v>
      </c>
      <c r="G114" t="e">
        <f t="shared" si="15"/>
        <v>#NUM!</v>
      </c>
    </row>
    <row r="115" spans="6:7" x14ac:dyDescent="0.4">
      <c r="F115">
        <f t="shared" si="14"/>
        <v>-60</v>
      </c>
      <c r="G115" t="e">
        <f t="shared" si="15"/>
        <v>#NUM!</v>
      </c>
    </row>
    <row r="116" spans="6:7" x14ac:dyDescent="0.4">
      <c r="F116">
        <f t="shared" si="14"/>
        <v>-60</v>
      </c>
      <c r="G116" t="e">
        <f t="shared" si="15"/>
        <v>#NUM!</v>
      </c>
    </row>
    <row r="117" spans="6:7" x14ac:dyDescent="0.4">
      <c r="F117">
        <f t="shared" si="14"/>
        <v>-60</v>
      </c>
      <c r="G117" t="e">
        <f t="shared" si="15"/>
        <v>#NUM!</v>
      </c>
    </row>
    <row r="118" spans="6:7" x14ac:dyDescent="0.4">
      <c r="F118">
        <f t="shared" si="14"/>
        <v>-60</v>
      </c>
      <c r="G118" t="e">
        <f t="shared" si="15"/>
        <v>#NUM!</v>
      </c>
    </row>
    <row r="119" spans="6:7" x14ac:dyDescent="0.4">
      <c r="F119">
        <f t="shared" si="14"/>
        <v>-60</v>
      </c>
      <c r="G119" t="e">
        <f t="shared" si="15"/>
        <v>#NUM!</v>
      </c>
    </row>
    <row r="120" spans="6:7" x14ac:dyDescent="0.4">
      <c r="F120">
        <f t="shared" si="14"/>
        <v>-60</v>
      </c>
      <c r="G120" t="e">
        <f t="shared" si="15"/>
        <v>#NUM!</v>
      </c>
    </row>
    <row r="121" spans="6:7" x14ac:dyDescent="0.4">
      <c r="F121">
        <f t="shared" si="14"/>
        <v>-60</v>
      </c>
      <c r="G121" t="e">
        <f t="shared" si="15"/>
        <v>#NUM!</v>
      </c>
    </row>
    <row r="122" spans="6:7" x14ac:dyDescent="0.4">
      <c r="F122">
        <f t="shared" si="14"/>
        <v>-60</v>
      </c>
      <c r="G122" t="e">
        <f t="shared" si="15"/>
        <v>#NUM!</v>
      </c>
    </row>
    <row r="123" spans="6:7" x14ac:dyDescent="0.4">
      <c r="F123">
        <f t="shared" si="14"/>
        <v>-60</v>
      </c>
      <c r="G123" t="e">
        <f t="shared" si="15"/>
        <v>#NUM!</v>
      </c>
    </row>
    <row r="124" spans="6:7" x14ac:dyDescent="0.4">
      <c r="F124">
        <f t="shared" si="14"/>
        <v>-60</v>
      </c>
      <c r="G124" t="e">
        <f t="shared" si="15"/>
        <v>#NUM!</v>
      </c>
    </row>
    <row r="125" spans="6:7" x14ac:dyDescent="0.4">
      <c r="F125">
        <f t="shared" si="14"/>
        <v>-60</v>
      </c>
      <c r="G125" t="e">
        <f t="shared" si="15"/>
        <v>#NUM!</v>
      </c>
    </row>
    <row r="126" spans="6:7" x14ac:dyDescent="0.4">
      <c r="F126">
        <f t="shared" si="14"/>
        <v>-60</v>
      </c>
      <c r="G126" t="e">
        <f t="shared" si="15"/>
        <v>#NUM!</v>
      </c>
    </row>
    <row r="127" spans="6:7" x14ac:dyDescent="0.4">
      <c r="F127">
        <f t="shared" si="14"/>
        <v>-60</v>
      </c>
      <c r="G127" t="e">
        <f t="shared" si="15"/>
        <v>#NUM!</v>
      </c>
    </row>
    <row r="128" spans="6:7" x14ac:dyDescent="0.4">
      <c r="F128">
        <f t="shared" si="14"/>
        <v>-60</v>
      </c>
      <c r="G128" t="e">
        <f t="shared" si="15"/>
        <v>#NUM!</v>
      </c>
    </row>
    <row r="129" spans="6:7" x14ac:dyDescent="0.4">
      <c r="F129">
        <f t="shared" si="14"/>
        <v>-60</v>
      </c>
      <c r="G129" t="e">
        <f t="shared" si="15"/>
        <v>#NUM!</v>
      </c>
    </row>
    <row r="130" spans="6:7" x14ac:dyDescent="0.4">
      <c r="F130">
        <f t="shared" si="14"/>
        <v>-60</v>
      </c>
      <c r="G130" t="e">
        <f t="shared" si="15"/>
        <v>#NUM!</v>
      </c>
    </row>
    <row r="131" spans="6:7" x14ac:dyDescent="0.4">
      <c r="F131">
        <f t="shared" si="14"/>
        <v>-60</v>
      </c>
      <c r="G131" t="e">
        <f t="shared" si="15"/>
        <v>#NUM!</v>
      </c>
    </row>
    <row r="132" spans="6:7" x14ac:dyDescent="0.4">
      <c r="F132">
        <f t="shared" si="14"/>
        <v>-60</v>
      </c>
      <c r="G132" t="e">
        <f t="shared" si="15"/>
        <v>#NUM!</v>
      </c>
    </row>
    <row r="133" spans="6:7" x14ac:dyDescent="0.4">
      <c r="F133">
        <f t="shared" si="14"/>
        <v>-60</v>
      </c>
      <c r="G133" t="e">
        <f t="shared" si="15"/>
        <v>#NUM!</v>
      </c>
    </row>
    <row r="134" spans="6:7" x14ac:dyDescent="0.4">
      <c r="F134">
        <f t="shared" si="14"/>
        <v>-60</v>
      </c>
      <c r="G134" t="e">
        <f t="shared" si="15"/>
        <v>#NUM!</v>
      </c>
    </row>
    <row r="135" spans="6:7" x14ac:dyDescent="0.4">
      <c r="F135">
        <f t="shared" si="14"/>
        <v>-60</v>
      </c>
      <c r="G135" t="e">
        <f t="shared" si="15"/>
        <v>#NUM!</v>
      </c>
    </row>
    <row r="136" spans="6:7" x14ac:dyDescent="0.4">
      <c r="F136">
        <f t="shared" si="14"/>
        <v>-60</v>
      </c>
      <c r="G136" t="e">
        <f t="shared" si="15"/>
        <v>#NUM!</v>
      </c>
    </row>
    <row r="137" spans="6:7" x14ac:dyDescent="0.4">
      <c r="F137">
        <f t="shared" si="14"/>
        <v>-60</v>
      </c>
      <c r="G137" t="e">
        <f t="shared" si="15"/>
        <v>#NUM!</v>
      </c>
    </row>
    <row r="138" spans="6:7" x14ac:dyDescent="0.4">
      <c r="F138">
        <f t="shared" si="14"/>
        <v>-60</v>
      </c>
      <c r="G138" t="e">
        <f t="shared" si="15"/>
        <v>#NUM!</v>
      </c>
    </row>
    <row r="139" spans="6:7" x14ac:dyDescent="0.4">
      <c r="F139">
        <f t="shared" si="14"/>
        <v>-60</v>
      </c>
      <c r="G139" t="e">
        <f t="shared" si="15"/>
        <v>#NUM!</v>
      </c>
    </row>
    <row r="140" spans="6:7" x14ac:dyDescent="0.4">
      <c r="F140">
        <f t="shared" si="14"/>
        <v>-60</v>
      </c>
      <c r="G140" t="e">
        <f t="shared" si="15"/>
        <v>#NUM!</v>
      </c>
    </row>
    <row r="141" spans="6:7" x14ac:dyDescent="0.4">
      <c r="F141">
        <f t="shared" si="14"/>
        <v>-60</v>
      </c>
      <c r="G141" t="e">
        <f t="shared" si="15"/>
        <v>#NUM!</v>
      </c>
    </row>
    <row r="142" spans="6:7" x14ac:dyDescent="0.4">
      <c r="F142">
        <f t="shared" si="14"/>
        <v>-60</v>
      </c>
      <c r="G142" t="e">
        <f t="shared" si="15"/>
        <v>#NUM!</v>
      </c>
    </row>
    <row r="143" spans="6:7" x14ac:dyDescent="0.4">
      <c r="F143">
        <f t="shared" si="14"/>
        <v>-60</v>
      </c>
      <c r="G143" t="e">
        <f t="shared" si="15"/>
        <v>#NUM!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B2A3-7D9F-4E37-86E7-0DAF6F4D72B2}">
  <sheetPr>
    <pageSetUpPr fitToPage="1"/>
  </sheetPr>
  <dimension ref="C4:K49"/>
  <sheetViews>
    <sheetView workbookViewId="0">
      <selection activeCell="C4" sqref="C4:K49"/>
    </sheetView>
  </sheetViews>
  <sheetFormatPr defaultRowHeight="18.75" x14ac:dyDescent="0.4"/>
  <cols>
    <col min="3" max="3" width="10.5" customWidth="1"/>
    <col min="4" max="4" width="11.5" customWidth="1"/>
    <col min="5" max="5" width="13.125" customWidth="1"/>
    <col min="7" max="7" width="1.375" customWidth="1"/>
    <col min="9" max="9" width="10.625" customWidth="1"/>
    <col min="10" max="10" width="12.375" customWidth="1"/>
  </cols>
  <sheetData>
    <row r="4" spans="3:11" x14ac:dyDescent="0.4">
      <c r="C4" s="3" t="s">
        <v>4</v>
      </c>
      <c r="D4" s="3" t="s">
        <v>3</v>
      </c>
      <c r="E4" s="3" t="s">
        <v>0</v>
      </c>
      <c r="F4" s="3" t="s">
        <v>1</v>
      </c>
      <c r="H4" s="3" t="s">
        <v>4</v>
      </c>
      <c r="I4" s="3" t="s">
        <v>3</v>
      </c>
      <c r="J4" s="3" t="s">
        <v>0</v>
      </c>
      <c r="K4" s="3" t="s">
        <v>1</v>
      </c>
    </row>
    <row r="5" spans="3:11" x14ac:dyDescent="0.4">
      <c r="C5" s="3"/>
      <c r="D5" s="3"/>
      <c r="E5" s="3"/>
      <c r="F5" s="3"/>
      <c r="H5" s="3"/>
      <c r="I5" s="3"/>
      <c r="J5" s="3"/>
      <c r="K5" s="3"/>
    </row>
    <row r="6" spans="3:11" x14ac:dyDescent="0.4">
      <c r="C6" s="3"/>
      <c r="D6" s="3"/>
      <c r="E6" s="3"/>
      <c r="F6" s="3"/>
      <c r="H6" s="3"/>
      <c r="I6" s="3"/>
      <c r="J6" s="3"/>
      <c r="K6" s="3"/>
    </row>
    <row r="7" spans="3:11" x14ac:dyDescent="0.4">
      <c r="C7" s="3"/>
      <c r="D7" s="3"/>
      <c r="E7" s="3"/>
      <c r="F7" s="3"/>
      <c r="H7" s="3"/>
      <c r="I7" s="3"/>
      <c r="J7" s="3"/>
      <c r="K7" s="3"/>
    </row>
    <row r="8" spans="3:11" x14ac:dyDescent="0.4">
      <c r="C8" s="3"/>
      <c r="D8" s="3"/>
      <c r="E8" s="3"/>
      <c r="F8" s="3"/>
      <c r="H8" s="3"/>
      <c r="I8" s="3"/>
      <c r="J8" s="3"/>
      <c r="K8" s="3"/>
    </row>
    <row r="9" spans="3:11" x14ac:dyDescent="0.4">
      <c r="C9" s="3"/>
      <c r="D9" s="3"/>
      <c r="E9" s="3"/>
      <c r="F9" s="3"/>
      <c r="H9" s="3"/>
      <c r="I9" s="3"/>
      <c r="J9" s="3"/>
      <c r="K9" s="3"/>
    </row>
    <row r="10" spans="3:11" x14ac:dyDescent="0.4">
      <c r="C10" s="3"/>
      <c r="D10" s="3"/>
      <c r="E10" s="3"/>
      <c r="F10" s="3"/>
      <c r="H10" s="3"/>
      <c r="I10" s="3"/>
      <c r="J10" s="3"/>
      <c r="K10" s="3"/>
    </row>
    <row r="11" spans="3:11" x14ac:dyDescent="0.4">
      <c r="C11" s="3"/>
      <c r="D11" s="3"/>
      <c r="E11" s="3"/>
      <c r="F11" s="3"/>
      <c r="H11" s="3"/>
      <c r="I11" s="3"/>
      <c r="J11" s="3"/>
      <c r="K11" s="3"/>
    </row>
    <row r="12" spans="3:11" x14ac:dyDescent="0.4">
      <c r="C12" s="3"/>
      <c r="D12" s="3"/>
      <c r="E12" s="3"/>
      <c r="F12" s="3"/>
      <c r="H12" s="3"/>
      <c r="I12" s="3"/>
      <c r="J12" s="3"/>
      <c r="K12" s="3"/>
    </row>
    <row r="13" spans="3:11" x14ac:dyDescent="0.4">
      <c r="C13" s="3"/>
      <c r="D13" s="3"/>
      <c r="E13" s="3"/>
      <c r="F13" s="3"/>
      <c r="H13" s="3"/>
      <c r="I13" s="3"/>
      <c r="J13" s="3"/>
      <c r="K13" s="3"/>
    </row>
    <row r="14" spans="3:11" x14ac:dyDescent="0.4">
      <c r="C14" s="3"/>
      <c r="D14" s="3"/>
      <c r="E14" s="3"/>
      <c r="F14" s="3"/>
      <c r="H14" s="3"/>
      <c r="I14" s="3"/>
      <c r="J14" s="3"/>
      <c r="K14" s="3"/>
    </row>
    <row r="15" spans="3:11" x14ac:dyDescent="0.4">
      <c r="C15" s="3"/>
      <c r="D15" s="3"/>
      <c r="E15" s="3"/>
      <c r="F15" s="3"/>
      <c r="H15" s="3"/>
      <c r="I15" s="3"/>
      <c r="J15" s="3"/>
      <c r="K15" s="3"/>
    </row>
    <row r="16" spans="3:11" x14ac:dyDescent="0.4">
      <c r="C16" s="3"/>
      <c r="D16" s="3"/>
      <c r="E16" s="3"/>
      <c r="F16" s="3"/>
      <c r="H16" s="3"/>
      <c r="I16" s="3"/>
      <c r="J16" s="3"/>
      <c r="K16" s="3"/>
    </row>
    <row r="17" spans="3:11" x14ac:dyDescent="0.4">
      <c r="C17" s="3"/>
      <c r="D17" s="3"/>
      <c r="E17" s="3"/>
      <c r="F17" s="3"/>
      <c r="H17" s="3"/>
      <c r="I17" s="3"/>
      <c r="J17" s="3"/>
      <c r="K17" s="3"/>
    </row>
    <row r="18" spans="3:11" x14ac:dyDescent="0.4">
      <c r="C18" s="3"/>
      <c r="D18" s="3"/>
      <c r="E18" s="3"/>
      <c r="F18" s="3"/>
      <c r="H18" s="3"/>
      <c r="I18" s="3"/>
      <c r="J18" s="3"/>
      <c r="K18" s="3"/>
    </row>
    <row r="19" spans="3:11" x14ac:dyDescent="0.4">
      <c r="C19" s="3"/>
      <c r="D19" s="3"/>
      <c r="E19" s="3"/>
      <c r="F19" s="3"/>
      <c r="H19" s="3"/>
      <c r="I19" s="3"/>
      <c r="J19" s="3"/>
      <c r="K19" s="3"/>
    </row>
    <row r="20" spans="3:11" x14ac:dyDescent="0.4">
      <c r="C20" s="3"/>
      <c r="D20" s="3"/>
      <c r="E20" s="3"/>
      <c r="F20" s="3"/>
      <c r="H20" s="3"/>
      <c r="I20" s="3"/>
      <c r="J20" s="3"/>
      <c r="K20" s="3"/>
    </row>
    <row r="21" spans="3:11" x14ac:dyDescent="0.4">
      <c r="C21" s="3"/>
      <c r="D21" s="3"/>
      <c r="E21" s="3"/>
      <c r="F21" s="3"/>
      <c r="H21" s="3"/>
      <c r="I21" s="3"/>
      <c r="J21" s="3"/>
      <c r="K21" s="3"/>
    </row>
    <row r="22" spans="3:11" x14ac:dyDescent="0.4">
      <c r="C22" s="3"/>
      <c r="D22" s="3"/>
      <c r="E22" s="3"/>
      <c r="F22" s="3"/>
      <c r="H22" s="3"/>
      <c r="I22" s="3"/>
      <c r="J22" s="3"/>
      <c r="K22" s="3"/>
    </row>
    <row r="23" spans="3:11" x14ac:dyDescent="0.4">
      <c r="C23" s="3"/>
      <c r="D23" s="3"/>
      <c r="E23" s="3"/>
      <c r="F23" s="3"/>
      <c r="H23" s="3"/>
      <c r="I23" s="3"/>
      <c r="J23" s="3"/>
      <c r="K23" s="3"/>
    </row>
    <row r="24" spans="3:11" x14ac:dyDescent="0.4">
      <c r="C24" s="3"/>
      <c r="D24" s="3"/>
      <c r="E24" s="3"/>
      <c r="F24" s="3"/>
      <c r="H24" s="3"/>
      <c r="I24" s="3"/>
      <c r="J24" s="3"/>
      <c r="K24" s="3"/>
    </row>
    <row r="25" spans="3:11" x14ac:dyDescent="0.4">
      <c r="C25" s="3"/>
      <c r="D25" s="3"/>
      <c r="E25" s="3"/>
      <c r="F25" s="3"/>
      <c r="H25" s="3"/>
      <c r="I25" s="3"/>
      <c r="J25" s="3"/>
      <c r="K25" s="3"/>
    </row>
    <row r="26" spans="3:11" x14ac:dyDescent="0.4">
      <c r="C26" s="3"/>
      <c r="D26" s="3"/>
      <c r="E26" s="3"/>
      <c r="F26" s="3"/>
      <c r="H26" s="3"/>
      <c r="I26" s="3"/>
      <c r="J26" s="3"/>
      <c r="K26" s="3"/>
    </row>
    <row r="27" spans="3:11" x14ac:dyDescent="0.4">
      <c r="C27" s="3"/>
      <c r="D27" s="3"/>
      <c r="E27" s="3"/>
      <c r="F27" s="3"/>
      <c r="H27" s="3"/>
      <c r="I27" s="3"/>
      <c r="J27" s="3"/>
      <c r="K27" s="3"/>
    </row>
    <row r="28" spans="3:11" x14ac:dyDescent="0.4">
      <c r="C28" s="3"/>
      <c r="D28" s="3"/>
      <c r="E28" s="3"/>
      <c r="F28" s="3"/>
      <c r="H28" s="3"/>
      <c r="I28" s="3"/>
      <c r="J28" s="3"/>
      <c r="K28" s="3"/>
    </row>
    <row r="29" spans="3:11" x14ac:dyDescent="0.4">
      <c r="C29" s="3"/>
      <c r="D29" s="3"/>
      <c r="E29" s="3"/>
      <c r="F29" s="3"/>
      <c r="H29" s="3"/>
      <c r="I29" s="3"/>
      <c r="J29" s="3"/>
      <c r="K29" s="3"/>
    </row>
    <row r="30" spans="3:11" x14ac:dyDescent="0.4">
      <c r="C30" s="3"/>
      <c r="D30" s="3"/>
      <c r="E30" s="3"/>
      <c r="F30" s="3"/>
      <c r="H30" s="3"/>
      <c r="I30" s="3"/>
      <c r="J30" s="3"/>
      <c r="K30" s="3"/>
    </row>
    <row r="31" spans="3:11" x14ac:dyDescent="0.4">
      <c r="C31" s="3"/>
      <c r="D31" s="3"/>
      <c r="E31" s="3"/>
      <c r="F31" s="3"/>
      <c r="H31" s="3"/>
      <c r="I31" s="3"/>
      <c r="J31" s="3"/>
      <c r="K31" s="3"/>
    </row>
    <row r="32" spans="3:11" x14ac:dyDescent="0.4">
      <c r="C32" s="3"/>
      <c r="D32" s="3"/>
      <c r="E32" s="3"/>
      <c r="F32" s="3"/>
      <c r="H32" s="3"/>
      <c r="I32" s="3"/>
      <c r="J32" s="3"/>
      <c r="K32" s="3"/>
    </row>
    <row r="33" spans="3:11" x14ac:dyDescent="0.4">
      <c r="C33" s="3"/>
      <c r="D33" s="3"/>
      <c r="E33" s="3"/>
      <c r="F33" s="3"/>
      <c r="H33" s="3"/>
      <c r="I33" s="3"/>
      <c r="J33" s="3"/>
      <c r="K33" s="3"/>
    </row>
    <row r="34" spans="3:11" x14ac:dyDescent="0.4">
      <c r="C34" s="3"/>
      <c r="D34" s="3"/>
      <c r="E34" s="3"/>
      <c r="F34" s="3"/>
      <c r="H34" s="3"/>
      <c r="I34" s="3"/>
      <c r="J34" s="3"/>
      <c r="K34" s="3"/>
    </row>
    <row r="35" spans="3:11" x14ac:dyDescent="0.4">
      <c r="C35" s="3"/>
      <c r="D35" s="3"/>
      <c r="E35" s="3"/>
      <c r="F35" s="3"/>
      <c r="H35" s="3"/>
      <c r="I35" s="3"/>
      <c r="J35" s="3"/>
      <c r="K35" s="3"/>
    </row>
    <row r="36" spans="3:11" x14ac:dyDescent="0.4">
      <c r="C36" s="3"/>
      <c r="D36" s="3"/>
      <c r="E36" s="3"/>
      <c r="F36" s="3"/>
      <c r="H36" s="3"/>
      <c r="I36" s="3"/>
      <c r="J36" s="3"/>
      <c r="K36" s="3"/>
    </row>
    <row r="37" spans="3:11" x14ac:dyDescent="0.4">
      <c r="C37" s="3"/>
      <c r="D37" s="3"/>
      <c r="E37" s="3"/>
      <c r="F37" s="3"/>
      <c r="H37" s="3"/>
      <c r="I37" s="3"/>
      <c r="J37" s="3"/>
      <c r="K37" s="3"/>
    </row>
    <row r="38" spans="3:11" x14ac:dyDescent="0.4">
      <c r="C38" s="3"/>
      <c r="D38" s="3"/>
      <c r="E38" s="3"/>
      <c r="F38" s="3"/>
      <c r="H38" s="3"/>
      <c r="I38" s="3"/>
      <c r="J38" s="3"/>
      <c r="K38" s="3"/>
    </row>
    <row r="39" spans="3:11" x14ac:dyDescent="0.4">
      <c r="C39" s="3"/>
      <c r="D39" s="3"/>
      <c r="E39" s="3"/>
      <c r="F39" s="3"/>
      <c r="H39" s="3"/>
      <c r="I39" s="3"/>
      <c r="J39" s="3"/>
      <c r="K39" s="3"/>
    </row>
    <row r="40" spans="3:11" x14ac:dyDescent="0.4">
      <c r="C40" s="3"/>
      <c r="D40" s="3"/>
      <c r="E40" s="3"/>
      <c r="F40" s="3"/>
      <c r="H40" s="3"/>
      <c r="I40" s="3"/>
      <c r="J40" s="3"/>
      <c r="K40" s="3"/>
    </row>
    <row r="41" spans="3:11" x14ac:dyDescent="0.4">
      <c r="C41" s="3"/>
      <c r="D41" s="3"/>
      <c r="E41" s="3"/>
      <c r="F41" s="3"/>
      <c r="H41" s="3"/>
      <c r="I41" s="3"/>
      <c r="J41" s="3"/>
      <c r="K41" s="3"/>
    </row>
    <row r="42" spans="3:11" x14ac:dyDescent="0.4">
      <c r="C42" s="3"/>
      <c r="D42" s="3"/>
      <c r="E42" s="3"/>
      <c r="F42" s="3"/>
      <c r="H42" s="3"/>
      <c r="I42" s="3"/>
      <c r="J42" s="3"/>
      <c r="K42" s="3"/>
    </row>
    <row r="43" spans="3:11" x14ac:dyDescent="0.4">
      <c r="C43" s="3"/>
      <c r="D43" s="3"/>
      <c r="E43" s="3"/>
      <c r="F43" s="3"/>
      <c r="H43" s="3"/>
      <c r="I43" s="3"/>
      <c r="J43" s="3"/>
      <c r="K43" s="3"/>
    </row>
    <row r="44" spans="3:11" x14ac:dyDescent="0.4">
      <c r="C44" s="3"/>
      <c r="D44" s="3"/>
      <c r="E44" s="3"/>
      <c r="F44" s="3"/>
      <c r="H44" s="3"/>
      <c r="I44" s="3"/>
      <c r="J44" s="3"/>
      <c r="K44" s="3"/>
    </row>
    <row r="45" spans="3:11" x14ac:dyDescent="0.4">
      <c r="C45" s="3"/>
      <c r="D45" s="3"/>
      <c r="E45" s="3"/>
      <c r="F45" s="3"/>
      <c r="H45" s="3"/>
      <c r="I45" s="3"/>
      <c r="J45" s="3"/>
      <c r="K45" s="3"/>
    </row>
    <row r="46" spans="3:11" x14ac:dyDescent="0.4">
      <c r="C46" s="3"/>
      <c r="D46" s="3"/>
      <c r="E46" s="3"/>
      <c r="F46" s="3"/>
      <c r="H46" s="3"/>
      <c r="I46" s="3"/>
      <c r="J46" s="3"/>
      <c r="K46" s="3"/>
    </row>
    <row r="47" spans="3:11" x14ac:dyDescent="0.4">
      <c r="C47" s="3"/>
      <c r="D47" s="3"/>
      <c r="E47" s="3"/>
      <c r="F47" s="3"/>
      <c r="H47" s="3"/>
      <c r="I47" s="3"/>
      <c r="J47" s="3"/>
      <c r="K47" s="3"/>
    </row>
    <row r="48" spans="3:11" x14ac:dyDescent="0.4">
      <c r="C48" s="3"/>
      <c r="D48" s="3"/>
      <c r="E48" s="3"/>
      <c r="F48" s="3"/>
      <c r="H48" s="3"/>
      <c r="I48" s="3"/>
      <c r="J48" s="3"/>
      <c r="K48" s="3"/>
    </row>
    <row r="49" spans="3:11" x14ac:dyDescent="0.4">
      <c r="C49" s="3"/>
      <c r="D49" s="3"/>
      <c r="E49" s="3"/>
      <c r="F49" s="3"/>
      <c r="H49" s="3"/>
      <c r="I49" s="3"/>
      <c r="J49" s="3"/>
      <c r="K49" s="3"/>
    </row>
  </sheetData>
  <phoneticPr fontId="1"/>
  <pageMargins left="0.7" right="0.7" top="0.75" bottom="0.75" header="0.3" footer="0.3"/>
  <pageSetup paperSize="9" scale="8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2025Hakone</vt:lpstr>
      <vt:lpstr>2025Regina</vt:lpstr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正高 木下</dc:creator>
  <cp:lastModifiedBy>正高 木下</cp:lastModifiedBy>
  <cp:lastPrinted>2024-10-07T09:23:25Z</cp:lastPrinted>
  <dcterms:created xsi:type="dcterms:W3CDTF">2024-10-07T08:51:16Z</dcterms:created>
  <dcterms:modified xsi:type="dcterms:W3CDTF">2026-08-28T06:07:34Z</dcterms:modified>
</cp:coreProperties>
</file>