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定数データ" sheetId="1" r:id="rId5"/>
    <sheet state="visible" name="河口湖生データ" sheetId="2" r:id="rId6"/>
    <sheet state="visible" name="河口湖変換後データ" sheetId="3" r:id="rId7"/>
    <sheet state="visible" name="河口湖セルシウスデータ" sheetId="4" r:id="rId8"/>
    <sheet state="visible" name="箱根湯本生データ" sheetId="5" r:id="rId9"/>
    <sheet state="visible" name="箱根湯本変換後データ" sheetId="6" r:id="rId10"/>
    <sheet state="visible" name="箱根湯本セルシウスデータ" sheetId="7" r:id="rId11"/>
  </sheets>
  <definedNames/>
  <calcPr/>
</workbook>
</file>

<file path=xl/sharedStrings.xml><?xml version="1.0" encoding="utf-8"?>
<sst xmlns="http://schemas.openxmlformats.org/spreadsheetml/2006/main" count="4" uniqueCount="4">
  <si>
    <t>定数データの置き場所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</si>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</sst>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23.0"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13"/>
  </cols>
  <sheetData>
    <row r="4">
      <c r="B4" s="2" t="s">
        <v>0</v>
      </c>
    </row>
    <row r="10">
      <c r="C10" s="1" t="s">
        <v>1</v>
      </c>
      <c r="D10" s="1">
        <v>0.002865670296</v>
      </c>
    </row>
    <row r="11">
      <c r="C11" s="1" t="s">
        <v>2</v>
      </c>
      <c r="D11" s="1">
        <v>2.901794861E-4</v>
      </c>
    </row>
    <row r="12">
      <c r="C12" s="1" t="s">
        <v>3</v>
      </c>
      <c r="D12" s="1">
        <v>5.680383032E-7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32.0</v>
      </c>
      <c r="B1" s="3">
        <v>9.243</v>
      </c>
    </row>
    <row r="2">
      <c r="A2" s="1">
        <v>33.0</v>
      </c>
      <c r="B2" s="3">
        <v>9.335</v>
      </c>
    </row>
    <row r="3">
      <c r="A3" s="1">
        <v>34.0</v>
      </c>
      <c r="B3" s="3">
        <v>9.39</v>
      </c>
    </row>
    <row r="4">
      <c r="A4" s="1">
        <v>35.0</v>
      </c>
      <c r="B4" s="3">
        <v>9.435</v>
      </c>
    </row>
    <row r="5">
      <c r="A5" s="1">
        <v>36.0</v>
      </c>
      <c r="B5" s="3">
        <v>9.472</v>
      </c>
    </row>
    <row r="6">
      <c r="A6" s="1">
        <v>37.0</v>
      </c>
      <c r="B6" s="3">
        <v>9.483</v>
      </c>
    </row>
    <row r="7">
      <c r="A7" s="1">
        <v>38.0</v>
      </c>
      <c r="B7" s="3">
        <v>9.483</v>
      </c>
    </row>
    <row r="8">
      <c r="A8" s="1">
        <v>39.0</v>
      </c>
      <c r="B8" s="3">
        <v>9.487</v>
      </c>
    </row>
    <row r="9">
      <c r="A9" s="1">
        <v>40.0</v>
      </c>
      <c r="B9" s="3">
        <v>9.49</v>
      </c>
    </row>
    <row r="10">
      <c r="A10" s="1">
        <v>41.0</v>
      </c>
      <c r="B10" s="3">
        <v>9.494</v>
      </c>
    </row>
    <row r="11">
      <c r="A11" s="1">
        <v>42.0</v>
      </c>
      <c r="B11" s="3">
        <v>9.494</v>
      </c>
    </row>
    <row r="12">
      <c r="A12" s="1">
        <v>43.0</v>
      </c>
      <c r="B12" s="3">
        <v>9.493</v>
      </c>
    </row>
    <row r="13">
      <c r="A13" s="1">
        <v>44.0</v>
      </c>
      <c r="B13" s="3">
        <v>9.493</v>
      </c>
    </row>
    <row r="14">
      <c r="A14" s="1">
        <v>45.0</v>
      </c>
      <c r="B14" s="3">
        <v>9.492</v>
      </c>
    </row>
    <row r="15">
      <c r="A15" s="1">
        <v>46.0</v>
      </c>
      <c r="B15" s="3">
        <v>9.491</v>
      </c>
    </row>
    <row r="16">
      <c r="A16" s="1">
        <v>47.0</v>
      </c>
      <c r="B16" s="3">
        <v>9.489</v>
      </c>
    </row>
    <row r="17">
      <c r="A17" s="1">
        <v>48.0</v>
      </c>
      <c r="B17" s="3">
        <v>9.489</v>
      </c>
    </row>
    <row r="18">
      <c r="A18" s="1">
        <v>49.0</v>
      </c>
      <c r="B18" s="3">
        <v>9.486</v>
      </c>
    </row>
    <row r="19">
      <c r="A19" s="1">
        <v>50.0</v>
      </c>
      <c r="B19" s="3">
        <v>9.483</v>
      </c>
    </row>
    <row r="20">
      <c r="A20" s="1">
        <v>51.0</v>
      </c>
      <c r="B20" s="3">
        <v>9.481</v>
      </c>
    </row>
    <row r="21">
      <c r="A21" s="1">
        <v>52.0</v>
      </c>
      <c r="B21" s="3">
        <v>9.478</v>
      </c>
    </row>
    <row r="22">
      <c r="A22" s="1">
        <v>53.0</v>
      </c>
      <c r="B22" s="3">
        <v>9.478</v>
      </c>
    </row>
    <row r="23">
      <c r="A23" s="1">
        <v>54.0</v>
      </c>
      <c r="B23" s="3">
        <v>9.472</v>
      </c>
    </row>
    <row r="24">
      <c r="A24" s="1">
        <v>55.0</v>
      </c>
      <c r="B24" s="3">
        <v>9.466</v>
      </c>
    </row>
    <row r="25">
      <c r="A25" s="1">
        <v>56.0</v>
      </c>
      <c r="B25" s="3">
        <v>9.463</v>
      </c>
    </row>
    <row r="26">
      <c r="A26" s="1">
        <v>57.0</v>
      </c>
      <c r="B26" s="3">
        <v>9.456</v>
      </c>
    </row>
    <row r="27">
      <c r="A27" s="1">
        <v>58.0</v>
      </c>
      <c r="B27" s="3">
        <v>9.456</v>
      </c>
    </row>
    <row r="28">
      <c r="A28" s="1">
        <v>59.0</v>
      </c>
      <c r="B28" s="3">
        <v>9.457</v>
      </c>
    </row>
    <row r="29">
      <c r="A29" s="1">
        <v>60.0</v>
      </c>
      <c r="B29" s="3">
        <v>9.459</v>
      </c>
    </row>
    <row r="30">
      <c r="A30" s="1">
        <v>61.0</v>
      </c>
      <c r="B30" s="3">
        <v>9.471</v>
      </c>
    </row>
    <row r="31">
      <c r="A31" s="1">
        <v>62.0</v>
      </c>
      <c r="B31" s="3">
        <v>9.483</v>
      </c>
    </row>
    <row r="32">
      <c r="A32" s="1">
        <v>63.0</v>
      </c>
      <c r="B32" s="3">
        <v>9.494</v>
      </c>
    </row>
    <row r="33">
      <c r="A33" s="1">
        <v>64.0</v>
      </c>
      <c r="B33" s="3">
        <v>9.51</v>
      </c>
    </row>
    <row r="34">
      <c r="A34" s="1">
        <v>65.0</v>
      </c>
      <c r="B34" s="3">
        <v>9.522</v>
      </c>
    </row>
    <row r="35">
      <c r="A35" s="1">
        <v>66.0</v>
      </c>
      <c r="B35" s="3">
        <v>9.533</v>
      </c>
    </row>
    <row r="36">
      <c r="A36" s="1">
        <v>67.0</v>
      </c>
      <c r="B36" s="3">
        <v>9.544</v>
      </c>
    </row>
    <row r="37">
      <c r="A37" s="1">
        <v>68.0</v>
      </c>
      <c r="B37" s="3">
        <v>9.554</v>
      </c>
    </row>
    <row r="38">
      <c r="A38" s="1">
        <v>69.0</v>
      </c>
      <c r="B38" s="3">
        <v>9.565</v>
      </c>
    </row>
    <row r="39">
      <c r="A39" s="1">
        <v>70.0</v>
      </c>
      <c r="B39" s="3">
        <v>9.575</v>
      </c>
    </row>
    <row r="40">
      <c r="A40" s="1">
        <v>71.0</v>
      </c>
      <c r="B40" s="3">
        <v>9.587</v>
      </c>
    </row>
    <row r="41">
      <c r="A41" s="1">
        <v>72.0</v>
      </c>
      <c r="B41" s="3">
        <v>9.597</v>
      </c>
    </row>
    <row r="42">
      <c r="A42" s="1">
        <v>73.0</v>
      </c>
      <c r="B42" s="3">
        <v>9.61</v>
      </c>
    </row>
    <row r="43">
      <c r="A43" s="1">
        <v>74.0</v>
      </c>
      <c r="B43" s="3">
        <v>9.623</v>
      </c>
    </row>
    <row r="44">
      <c r="A44" s="1">
        <v>75.0</v>
      </c>
      <c r="B44" s="3">
        <v>9.634</v>
      </c>
    </row>
    <row r="45">
      <c r="A45" s="1">
        <v>76.0</v>
      </c>
      <c r="B45" s="3">
        <v>9.646</v>
      </c>
    </row>
    <row r="46">
      <c r="A46" s="1">
        <v>77.0</v>
      </c>
      <c r="B46" s="3">
        <v>9.658</v>
      </c>
    </row>
    <row r="47">
      <c r="A47" s="1">
        <v>78.0</v>
      </c>
      <c r="B47" s="3">
        <v>9.672</v>
      </c>
    </row>
    <row r="48">
      <c r="A48" s="1">
        <v>79.0</v>
      </c>
      <c r="B48" s="3">
        <v>9.689</v>
      </c>
    </row>
    <row r="49">
      <c r="A49" s="1">
        <v>80.0</v>
      </c>
      <c r="B49" s="3">
        <v>9.704</v>
      </c>
    </row>
    <row r="50">
      <c r="A50" s="1">
        <v>81.0</v>
      </c>
      <c r="B50" s="3">
        <v>9.723</v>
      </c>
    </row>
    <row r="51">
      <c r="A51" s="1">
        <v>82.0</v>
      </c>
      <c r="B51" s="3">
        <v>9.74</v>
      </c>
    </row>
    <row r="52">
      <c r="A52" s="1">
        <v>83.0</v>
      </c>
      <c r="B52" s="3">
        <v>9.759</v>
      </c>
    </row>
    <row r="53">
      <c r="A53" s="1">
        <v>84.0</v>
      </c>
      <c r="B53" s="3">
        <v>9.78</v>
      </c>
    </row>
    <row r="54">
      <c r="A54" s="1">
        <v>85.0</v>
      </c>
      <c r="B54" s="3">
        <v>9.794</v>
      </c>
    </row>
    <row r="55">
      <c r="A55" s="1">
        <v>86.0</v>
      </c>
      <c r="B55" s="3">
        <v>9.813</v>
      </c>
    </row>
    <row r="56">
      <c r="A56" s="1">
        <v>87.0</v>
      </c>
      <c r="B56" s="3">
        <v>9.828</v>
      </c>
    </row>
    <row r="57">
      <c r="A57" s="1">
        <v>88.0</v>
      </c>
      <c r="B57" s="3">
        <v>9.842</v>
      </c>
    </row>
    <row r="58">
      <c r="A58" s="1">
        <v>89.0</v>
      </c>
      <c r="B58" s="3">
        <v>9.851</v>
      </c>
    </row>
    <row r="59">
      <c r="A59" s="1">
        <v>90.0</v>
      </c>
      <c r="B59" s="3">
        <v>9.857</v>
      </c>
    </row>
    <row r="60">
      <c r="A60" s="1">
        <v>91.0</v>
      </c>
      <c r="B60" s="3">
        <v>9.858</v>
      </c>
    </row>
    <row r="61">
      <c r="A61" s="1">
        <v>92.0</v>
      </c>
      <c r="B61" s="3">
        <v>9.859</v>
      </c>
    </row>
    <row r="62">
      <c r="A62" s="1">
        <v>93.0</v>
      </c>
      <c r="B62" s="3">
        <v>9.859</v>
      </c>
    </row>
    <row r="63">
      <c r="A63" s="1">
        <v>94.0</v>
      </c>
      <c r="B63" s="3">
        <v>9.859</v>
      </c>
    </row>
    <row r="64">
      <c r="A64" s="1">
        <v>95.0</v>
      </c>
      <c r="B64" s="3">
        <v>9.859</v>
      </c>
    </row>
    <row r="65">
      <c r="A65" s="1">
        <v>96.0</v>
      </c>
      <c r="B65" s="3">
        <v>9.859</v>
      </c>
    </row>
    <row r="66">
      <c r="A66" s="1">
        <v>97.0</v>
      </c>
      <c r="B66" s="3">
        <v>9.859</v>
      </c>
    </row>
    <row r="67">
      <c r="A67" s="1">
        <v>98.0</v>
      </c>
      <c r="B67" s="3">
        <v>9.86</v>
      </c>
    </row>
    <row r="68">
      <c r="A68" s="1">
        <v>99.0</v>
      </c>
      <c r="B68" s="3">
        <v>9.859</v>
      </c>
    </row>
    <row r="69">
      <c r="A69" s="1">
        <v>100.0</v>
      </c>
      <c r="B69" s="3">
        <v>9.86</v>
      </c>
    </row>
    <row r="70">
      <c r="A70" s="1">
        <v>101.0</v>
      </c>
      <c r="B70" s="3">
        <v>9.859</v>
      </c>
    </row>
    <row r="71">
      <c r="A71" s="1">
        <v>102.0</v>
      </c>
      <c r="B71" s="3">
        <v>9.859</v>
      </c>
    </row>
    <row r="72">
      <c r="A72" s="1">
        <v>103.0</v>
      </c>
      <c r="B72" s="3">
        <v>9.859</v>
      </c>
    </row>
    <row r="73">
      <c r="A73" s="1">
        <v>104.0</v>
      </c>
      <c r="B73" s="3">
        <v>9.859</v>
      </c>
    </row>
    <row r="74">
      <c r="A74" s="1">
        <v>105.0</v>
      </c>
      <c r="B74" s="3">
        <v>9.859</v>
      </c>
    </row>
    <row r="75">
      <c r="A75" s="1">
        <v>106.0</v>
      </c>
      <c r="B75" s="3">
        <v>9.859</v>
      </c>
    </row>
    <row r="76">
      <c r="A76" s="1">
        <v>107.0</v>
      </c>
      <c r="B76" s="3">
        <v>9.858</v>
      </c>
    </row>
    <row r="77">
      <c r="A77" s="1">
        <v>108.0</v>
      </c>
      <c r="B77" s="3">
        <v>9.859</v>
      </c>
    </row>
    <row r="78">
      <c r="A78" s="1">
        <v>109.0</v>
      </c>
      <c r="B78" s="3">
        <v>9.858</v>
      </c>
    </row>
    <row r="79">
      <c r="A79" s="1">
        <v>110.0</v>
      </c>
      <c r="B79" s="3">
        <v>9.857</v>
      </c>
    </row>
    <row r="80">
      <c r="A80" s="1">
        <v>111.0</v>
      </c>
      <c r="B80" s="3">
        <v>9.858</v>
      </c>
    </row>
    <row r="81">
      <c r="A81" s="1">
        <v>112.0</v>
      </c>
      <c r="B81" s="3">
        <v>9.859</v>
      </c>
    </row>
    <row r="82">
      <c r="A82" s="1">
        <v>113.0</v>
      </c>
      <c r="B82" s="3">
        <v>9.859</v>
      </c>
    </row>
    <row r="83">
      <c r="A83" s="1">
        <v>114.0</v>
      </c>
      <c r="B83" s="3">
        <v>9.863</v>
      </c>
    </row>
    <row r="84">
      <c r="A84" s="1">
        <v>115.0</v>
      </c>
      <c r="B84" s="3">
        <v>9.865</v>
      </c>
    </row>
    <row r="85">
      <c r="A85" s="1">
        <v>116.0</v>
      </c>
      <c r="B85" s="3">
        <v>9.865</v>
      </c>
    </row>
    <row r="86">
      <c r="A86" s="1">
        <v>117.0</v>
      </c>
      <c r="B86" s="3">
        <v>9.865</v>
      </c>
    </row>
    <row r="87">
      <c r="A87" s="1">
        <v>118.0</v>
      </c>
      <c r="B87" s="3">
        <v>9.864</v>
      </c>
    </row>
    <row r="88">
      <c r="A88" s="1">
        <v>119.0</v>
      </c>
      <c r="B88" s="3">
        <v>9.865</v>
      </c>
    </row>
    <row r="89">
      <c r="A89" s="1">
        <v>120.0</v>
      </c>
      <c r="B89" s="3">
        <v>9.864</v>
      </c>
    </row>
    <row r="90">
      <c r="A90" s="1">
        <v>121.0</v>
      </c>
      <c r="B90" s="3">
        <v>9.865</v>
      </c>
    </row>
    <row r="91">
      <c r="A91" s="1">
        <v>122.0</v>
      </c>
      <c r="B91" s="3">
        <v>9.865</v>
      </c>
    </row>
    <row r="92">
      <c r="A92" s="1">
        <v>123.0</v>
      </c>
      <c r="B92" s="3">
        <v>9.865</v>
      </c>
    </row>
    <row r="93">
      <c r="A93" s="1">
        <v>124.0</v>
      </c>
      <c r="B93" s="3">
        <v>9.865</v>
      </c>
    </row>
    <row r="94">
      <c r="A94" s="1">
        <v>125.0</v>
      </c>
      <c r="B94" s="3">
        <v>9.864</v>
      </c>
    </row>
    <row r="95">
      <c r="A95" s="1">
        <v>125.55</v>
      </c>
      <c r="B95" s="3">
        <v>9.866</v>
      </c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f>'河口湖生データ'!A1+0.558-0.99</f>
        <v>31.568</v>
      </c>
      <c r="B1" s="4">
        <f>1/('定数データ'!D$10+'定数データ'!D$11*LOG('河口湖生データ'!B1,EXP(1))+'定数データ'!D$12*LOG('河口湖生データ'!B1^3,EXP(1)))</f>
        <v>284.5127914</v>
      </c>
    </row>
    <row r="2">
      <c r="A2" s="4">
        <f>'河口湖生データ'!A2+0.558-0.99</f>
        <v>32.568</v>
      </c>
      <c r="B2" s="4">
        <f>1/('定数データ'!D$10+'定数データ'!D$11*LOG('河口湖生データ'!B2,EXP(1))+'定数データ'!D$12*LOG('河口湖生データ'!B2^3,EXP(1)))</f>
        <v>284.278973</v>
      </c>
    </row>
    <row r="3">
      <c r="A3" s="4">
        <f>'河口湖生データ'!A3+0.558-0.99</f>
        <v>33.568</v>
      </c>
      <c r="B3" s="4">
        <f>1/('定数データ'!D$10+'定数データ'!D$11*LOG('河口湖生データ'!B3,EXP(1))+'定数データ'!D$12*LOG('河口湖生データ'!B3^3,EXP(1)))</f>
        <v>284.1404699</v>
      </c>
    </row>
    <row r="4">
      <c r="A4" s="4">
        <f>'河口湖生データ'!A4+0.558-0.99</f>
        <v>34.568</v>
      </c>
      <c r="B4" s="4">
        <f>1/('定数データ'!D$10+'定数データ'!D$11*LOG('河口湖生データ'!B4,EXP(1))+'定数データ'!D$12*LOG('河口湖生データ'!B4^3,EXP(1)))</f>
        <v>284.0278508</v>
      </c>
    </row>
    <row r="5">
      <c r="A5" s="4">
        <f>'河口湖生データ'!A5+0.558-0.99</f>
        <v>35.568</v>
      </c>
      <c r="B5" s="4">
        <f>1/('定数データ'!D$10+'定数データ'!D$11*LOG('河口湖生データ'!B5,EXP(1))+'定数データ'!D$12*LOG('河口湖生データ'!B5^3,EXP(1)))</f>
        <v>283.9357209</v>
      </c>
    </row>
    <row r="6">
      <c r="A6" s="4">
        <f>'河口湖生データ'!A6+0.558-0.99</f>
        <v>36.568</v>
      </c>
      <c r="B6" s="4">
        <f>1/('定数データ'!D$10+'定数データ'!D$11*LOG('河口湖生データ'!B6,EXP(1))+'定数データ'!D$12*LOG('河口湖生データ'!B6^3,EXP(1)))</f>
        <v>283.9084119</v>
      </c>
    </row>
    <row r="7">
      <c r="A7" s="4">
        <f>'河口湖生データ'!A7+0.558-0.99</f>
        <v>37.568</v>
      </c>
      <c r="B7" s="4">
        <f>1/('定数データ'!D$10+'定数データ'!D$11*LOG('河口湖生データ'!B7,EXP(1))+'定数データ'!D$12*LOG('河口湖生データ'!B7^3,EXP(1)))</f>
        <v>283.9084119</v>
      </c>
    </row>
    <row r="8">
      <c r="A8" s="4">
        <f>'河口湖生データ'!A8+0.558-0.99</f>
        <v>38.568</v>
      </c>
      <c r="B8" s="4">
        <f>1/('定数データ'!D$10+'定数データ'!D$11*LOG('河口湖生データ'!B8,EXP(1))+'定数データ'!D$12*LOG('河口湖生データ'!B8^3,EXP(1)))</f>
        <v>283.8984904</v>
      </c>
    </row>
    <row r="9">
      <c r="A9" s="4">
        <f>'河口湖生データ'!A9+0.558-0.99</f>
        <v>39.568</v>
      </c>
      <c r="B9" s="4">
        <f>1/('定数データ'!D$10+'定数データ'!D$11*LOG('河口湖生データ'!B9,EXP(1))+'定数データ'!D$12*LOG('河口湖生データ'!B9^3,EXP(1)))</f>
        <v>283.8910526</v>
      </c>
    </row>
    <row r="10">
      <c r="A10" s="4">
        <f>'河口湖生データ'!A10+0.558-0.99</f>
        <v>40.568</v>
      </c>
      <c r="B10" s="4">
        <f>1/('定数データ'!D$10+'定数データ'!D$11*LOG('河口湖生データ'!B10,EXP(1))+'定数データ'!D$12*LOG('河口湖生データ'!B10^3,EXP(1)))</f>
        <v>283.8811397</v>
      </c>
    </row>
    <row r="11">
      <c r="A11" s="4">
        <f>'河口湖生データ'!A11+0.558-0.99</f>
        <v>41.568</v>
      </c>
      <c r="B11" s="4">
        <f>1/('定数データ'!D$10+'定数データ'!D$11*LOG('河口湖生データ'!B11,EXP(1))+'定数データ'!D$12*LOG('河口湖生データ'!B11^3,EXP(1)))</f>
        <v>283.8811397</v>
      </c>
    </row>
    <row r="12">
      <c r="A12" s="4">
        <f>'河口湖生データ'!A12+0.558-0.99</f>
        <v>42.568</v>
      </c>
      <c r="B12" s="4">
        <f>1/('定数データ'!D$10+'定数データ'!D$11*LOG('河口湖生データ'!B12,EXP(1))+'定数データ'!D$12*LOG('河口湖生データ'!B12^3,EXP(1)))</f>
        <v>283.8836175</v>
      </c>
    </row>
    <row r="13">
      <c r="A13" s="4">
        <f>'河口湖生データ'!A13+0.558-0.99</f>
        <v>43.568</v>
      </c>
      <c r="B13" s="4">
        <f>1/('定数データ'!D$10+'定数データ'!D$11*LOG('河口湖生データ'!B13,EXP(1))+'定数データ'!D$12*LOG('河口湖生データ'!B13^3,EXP(1)))</f>
        <v>283.8836175</v>
      </c>
    </row>
    <row r="14">
      <c r="A14" s="4">
        <f>'河口湖生データ'!A14+0.558-0.99</f>
        <v>44.568</v>
      </c>
      <c r="B14" s="4">
        <f>1/('定数データ'!D$10+'定数データ'!D$11*LOG('河口湖生データ'!B14,EXP(1))+'定数データ'!D$12*LOG('河口湖生データ'!B14^3,EXP(1)))</f>
        <v>283.8860955</v>
      </c>
    </row>
    <row r="15">
      <c r="A15" s="4">
        <f>'河口湖生データ'!A15+0.558-0.99</f>
        <v>45.568</v>
      </c>
      <c r="B15" s="4">
        <f>1/('定数データ'!D$10+'定数データ'!D$11*LOG('河口湖生データ'!B15,EXP(1))+'定数データ'!D$12*LOG('河口湖生データ'!B15^3,EXP(1)))</f>
        <v>283.8885739</v>
      </c>
    </row>
    <row r="16">
      <c r="A16" s="4">
        <f>'河口湖生データ'!A16+0.558-0.99</f>
        <v>46.568</v>
      </c>
      <c r="B16" s="4">
        <f>1/('定数データ'!D$10+'定数データ'!D$11*LOG('河口湖生データ'!B16,EXP(1))+'定数データ'!D$12*LOG('河口湖生データ'!B16^3,EXP(1)))</f>
        <v>283.8935316</v>
      </c>
    </row>
    <row r="17">
      <c r="A17" s="4">
        <f>'河口湖生データ'!A17+0.558-0.99</f>
        <v>47.568</v>
      </c>
      <c r="B17" s="4">
        <f>1/('定数データ'!D$10+'定数データ'!D$11*LOG('河口湖生データ'!B17,EXP(1))+'定数データ'!D$12*LOG('河口湖生データ'!B17^3,EXP(1)))</f>
        <v>283.8935316</v>
      </c>
    </row>
    <row r="18">
      <c r="A18" s="4">
        <f>'河口湖生データ'!A18+0.558-0.99</f>
        <v>48.568</v>
      </c>
      <c r="B18" s="4">
        <f>1/('定数データ'!D$10+'定数データ'!D$11*LOG('河口湖生データ'!B18,EXP(1))+'定数データ'!D$12*LOG('河口湖生データ'!B18^3,EXP(1)))</f>
        <v>283.9009703</v>
      </c>
    </row>
    <row r="19">
      <c r="A19" s="4">
        <f>'河口湖生データ'!A19+0.558-0.99</f>
        <v>49.568</v>
      </c>
      <c r="B19" s="4">
        <f>1/('定数データ'!D$10+'定数データ'!D$11*LOG('河口湖生データ'!B19,EXP(1))+'定数データ'!D$12*LOG('河口湖生データ'!B19^3,EXP(1)))</f>
        <v>283.9084119</v>
      </c>
    </row>
    <row r="20">
      <c r="A20" s="4">
        <f>'河口湖生データ'!A20+0.558-0.99</f>
        <v>50.568</v>
      </c>
      <c r="B20" s="4">
        <f>1/('定数データ'!D$10+'定数データ'!D$11*LOG('河口湖生データ'!B20,EXP(1))+'定数データ'!D$12*LOG('河口湖生データ'!B20^3,EXP(1)))</f>
        <v>283.9133744</v>
      </c>
    </row>
    <row r="21">
      <c r="A21" s="4">
        <f>'河口湖生データ'!A21+0.558-0.99</f>
        <v>51.568</v>
      </c>
      <c r="B21" s="4">
        <f>1/('定数データ'!D$10+'定数データ'!D$11*LOG('河口湖生データ'!B21,EXP(1))+'定数データ'!D$12*LOG('河口湖生データ'!B21^3,EXP(1)))</f>
        <v>283.9208205</v>
      </c>
    </row>
    <row r="22">
      <c r="A22" s="4">
        <f>'河口湖生データ'!A22+0.558-0.99</f>
        <v>52.568</v>
      </c>
      <c r="B22" s="4">
        <f>1/('定数データ'!D$10+'定数データ'!D$11*LOG('河口湖生データ'!B22,EXP(1))+'定数データ'!D$12*LOG('河口湖生データ'!B22^3,EXP(1)))</f>
        <v>283.9208205</v>
      </c>
    </row>
    <row r="23">
      <c r="A23" s="4">
        <f>'河口湖生データ'!A23+0.558-0.99</f>
        <v>53.568</v>
      </c>
      <c r="B23" s="4">
        <f>1/('定数データ'!D$10+'定数データ'!D$11*LOG('河口湖生データ'!B23,EXP(1))+'定数データ'!D$12*LOG('河口湖生データ'!B23^3,EXP(1)))</f>
        <v>283.9357209</v>
      </c>
    </row>
    <row r="24">
      <c r="A24" s="4">
        <f>'河口湖生データ'!A24+0.558-0.99</f>
        <v>54.568</v>
      </c>
      <c r="B24" s="4">
        <f>1/('定数データ'!D$10+'定数データ'!D$11*LOG('河口湖生データ'!B24,EXP(1))+'定数データ'!D$12*LOG('河口湖生データ'!B24^3,EXP(1)))</f>
        <v>283.9506324</v>
      </c>
    </row>
    <row r="25">
      <c r="A25" s="4">
        <f>'河口湖生データ'!A25+0.558-0.99</f>
        <v>55.568</v>
      </c>
      <c r="B25" s="4">
        <f>1/('定数データ'!D$10+'定数データ'!D$11*LOG('河口湖生データ'!B25,EXP(1))+'定数データ'!D$12*LOG('河口湖生データ'!B25^3,EXP(1)))</f>
        <v>283.9580922</v>
      </c>
    </row>
    <row r="26">
      <c r="A26" s="4">
        <f>'河口湖生データ'!A26+0.558-0.99</f>
        <v>56.568</v>
      </c>
      <c r="B26" s="4">
        <f>1/('定数データ'!D$10+'定数データ'!D$11*LOG('河口湖生データ'!B26,EXP(1))+'定数データ'!D$12*LOG('河口湖生データ'!B26^3,EXP(1)))</f>
        <v>283.9755093</v>
      </c>
    </row>
    <row r="27">
      <c r="A27" s="4">
        <f>'河口湖生データ'!A27+0.558-0.99</f>
        <v>57.568</v>
      </c>
      <c r="B27" s="4">
        <f>1/('定数データ'!D$10+'定数データ'!D$11*LOG('河口湖生データ'!B27,EXP(1))+'定数データ'!D$12*LOG('河口湖生データ'!B27^3,EXP(1)))</f>
        <v>283.9755093</v>
      </c>
    </row>
    <row r="28">
      <c r="A28" s="4">
        <f>'河口湖生データ'!A28+0.558-0.99</f>
        <v>58.568</v>
      </c>
      <c r="B28" s="4">
        <f>1/('定数データ'!D$10+'定数データ'!D$11*LOG('河口湖生データ'!B28,EXP(1))+'定数データ'!D$12*LOG('河口湖生データ'!B28^3,EXP(1)))</f>
        <v>283.9730202</v>
      </c>
    </row>
    <row r="29">
      <c r="A29" s="4">
        <f>'河口湖生データ'!A29+0.558-0.99</f>
        <v>59.568</v>
      </c>
      <c r="B29" s="4">
        <f>1/('定数データ'!D$10+'定数データ'!D$11*LOG('河口湖生データ'!B29,EXP(1))+'定数データ'!D$12*LOG('河口湖生データ'!B29^3,EXP(1)))</f>
        <v>283.968043</v>
      </c>
    </row>
    <row r="30">
      <c r="A30" s="4">
        <f>'河口湖生データ'!A30+0.558-0.99</f>
        <v>60.568</v>
      </c>
      <c r="B30" s="4">
        <f>1/('定数データ'!D$10+'定数データ'!D$11*LOG('河口湖生データ'!B30,EXP(1))+'定数データ'!D$12*LOG('河口湖生データ'!B30^3,EXP(1)))</f>
        <v>283.9382054</v>
      </c>
    </row>
    <row r="31">
      <c r="A31" s="4">
        <f>'河口湖生データ'!A31+0.558-0.99</f>
        <v>61.568</v>
      </c>
      <c r="B31" s="4">
        <f>1/('定数データ'!D$10+'定数データ'!D$11*LOG('河口湖生データ'!B31,EXP(1))+'定数データ'!D$12*LOG('河口湖生データ'!B31^3,EXP(1)))</f>
        <v>283.9084119</v>
      </c>
    </row>
    <row r="32">
      <c r="A32" s="4">
        <f>'河口湖生データ'!A32+0.558-0.99</f>
        <v>62.568</v>
      </c>
      <c r="B32" s="4">
        <f>1/('定数データ'!D$10+'定数データ'!D$11*LOG('河口湖生データ'!B32,EXP(1))+'定数データ'!D$12*LOG('河口湖生データ'!B32^3,EXP(1)))</f>
        <v>283.8811397</v>
      </c>
    </row>
    <row r="33">
      <c r="A33" s="4">
        <f>'河口湖生データ'!A33+0.558-0.99</f>
        <v>63.568</v>
      </c>
      <c r="B33" s="4">
        <f>1/('定数データ'!D$10+'定数データ'!D$11*LOG('河口湖生データ'!B33,EXP(1))+'定数データ'!D$12*LOG('河口湖生データ'!B33^3,EXP(1)))</f>
        <v>283.8415368</v>
      </c>
    </row>
    <row r="34">
      <c r="A34" s="4">
        <f>'河口湖生データ'!A34+0.558-0.99</f>
        <v>64.568</v>
      </c>
      <c r="B34" s="4">
        <f>1/('定数データ'!D$10+'定数データ'!D$11*LOG('河口湖生データ'!B34,EXP(1))+'定数データ'!D$12*LOG('河口湖生データ'!B34^3,EXP(1)))</f>
        <v>283.8118855</v>
      </c>
    </row>
    <row r="35">
      <c r="A35" s="4">
        <f>'河口湖生データ'!A35+0.558-0.99</f>
        <v>65.568</v>
      </c>
      <c r="B35" s="4">
        <f>1/('定数データ'!D$10+'定数データ'!D$11*LOG('河口湖生データ'!B35,EXP(1))+'定数データ'!D$12*LOG('河口湖生データ'!B35^3,EXP(1)))</f>
        <v>283.7847434</v>
      </c>
    </row>
    <row r="36">
      <c r="A36" s="4">
        <f>'河口湖生データ'!A36+0.558-0.99</f>
        <v>66.568</v>
      </c>
      <c r="B36" s="4">
        <f>1/('定数データ'!D$10+'定数データ'!D$11*LOG('河口湖生データ'!B36,EXP(1))+'定数データ'!D$12*LOG('河口湖生データ'!B36^3,EXP(1)))</f>
        <v>283.7576378</v>
      </c>
    </row>
    <row r="37">
      <c r="A37" s="4">
        <f>'河口湖生データ'!A37+0.558-0.99</f>
        <v>67.568</v>
      </c>
      <c r="B37" s="4">
        <f>1/('定数データ'!D$10+'定数データ'!D$11*LOG('河口湖生データ'!B37,EXP(1))+'定数データ'!D$12*LOG('河口湖生データ'!B37^3,EXP(1)))</f>
        <v>283.733028</v>
      </c>
    </row>
    <row r="38">
      <c r="A38" s="4">
        <f>'河口湖生データ'!A38+0.558-0.99</f>
        <v>68.568</v>
      </c>
      <c r="B38" s="4">
        <f>1/('定数データ'!D$10+'定数データ'!D$11*LOG('河口湖生データ'!B38,EXP(1))+'定数データ'!D$12*LOG('河口湖生データ'!B38^3,EXP(1)))</f>
        <v>283.7059918</v>
      </c>
    </row>
    <row r="39">
      <c r="A39" s="4">
        <f>'河口湖生データ'!A39+0.558-0.99</f>
        <v>69.568</v>
      </c>
      <c r="B39" s="4">
        <f>1/('定数データ'!D$10+'定数データ'!D$11*LOG('河口湖生データ'!B39,EXP(1))+'定数データ'!D$12*LOG('河口湖生データ'!B39^3,EXP(1)))</f>
        <v>283.6814448</v>
      </c>
    </row>
    <row r="40">
      <c r="A40" s="4">
        <f>'河口湖生データ'!A40+0.558-0.99</f>
        <v>70.568</v>
      </c>
      <c r="B40" s="4">
        <f>1/('定数データ'!D$10+'定数データ'!D$11*LOG('河口湖生データ'!B40,EXP(1))+'定数データ'!D$12*LOG('河口湖生データ'!B40^3,EXP(1)))</f>
        <v>283.6520279</v>
      </c>
    </row>
    <row r="41">
      <c r="A41" s="4">
        <f>'河口湖生データ'!A41+0.558-0.99</f>
        <v>71.568</v>
      </c>
      <c r="B41" s="4">
        <f>1/('定数データ'!D$10+'定数データ'!D$11*LOG('河口湖生データ'!B41,EXP(1))+'定数データ'!D$12*LOG('河口湖生データ'!B41^3,EXP(1)))</f>
        <v>283.6275466</v>
      </c>
    </row>
    <row r="42">
      <c r="A42" s="4">
        <f>'河口湖生データ'!A42+0.558-0.99</f>
        <v>72.568</v>
      </c>
      <c r="B42" s="4">
        <f>1/('定数データ'!D$10+'定数データ'!D$11*LOG('河口湖生データ'!B42,EXP(1))+'定数データ'!D$12*LOG('河口湖生データ'!B42^3,EXP(1)))</f>
        <v>283.5957653</v>
      </c>
    </row>
    <row r="43">
      <c r="A43" s="4">
        <f>'河口湖生データ'!A43+0.558-0.99</f>
        <v>73.568</v>
      </c>
      <c r="B43" s="4">
        <f>1/('定数データ'!D$10+'定数データ'!D$11*LOG('河口湖生データ'!B43,EXP(1))+'定数データ'!D$12*LOG('河口湖生データ'!B43^3,EXP(1)))</f>
        <v>283.5640341</v>
      </c>
    </row>
    <row r="44">
      <c r="A44" s="4">
        <f>'河口湖生データ'!A44+0.558-0.99</f>
        <v>74.568</v>
      </c>
      <c r="B44" s="4">
        <f>1/('定数データ'!D$10+'定数データ'!D$11*LOG('河口湖生データ'!B44,EXP(1))+'定数データ'!D$12*LOG('河口湖生データ'!B44^3,EXP(1)))</f>
        <v>283.5372236</v>
      </c>
    </row>
    <row r="45">
      <c r="A45" s="4">
        <f>'河口湖生データ'!A45+0.558-0.99</f>
        <v>75.568</v>
      </c>
      <c r="B45" s="4">
        <f>1/('定数データ'!D$10+'定数データ'!D$11*LOG('河口湖生データ'!B45,EXP(1))+'定数データ'!D$12*LOG('河口湖生データ'!B45^3,EXP(1)))</f>
        <v>283.5080164</v>
      </c>
    </row>
    <row r="46">
      <c r="A46" s="4">
        <f>'河口湖生データ'!A46+0.558-0.99</f>
        <v>76.568</v>
      </c>
      <c r="B46" s="4">
        <f>1/('定数データ'!D$10+'定数データ'!D$11*LOG('河口湖生データ'!B46,EXP(1))+'定数データ'!D$12*LOG('河口湖生データ'!B46^3,EXP(1)))</f>
        <v>283.4788516</v>
      </c>
    </row>
    <row r="47">
      <c r="A47" s="4">
        <f>'河口湖生データ'!A47+0.558-0.99</f>
        <v>77.568</v>
      </c>
      <c r="B47" s="4">
        <f>1/('定数データ'!D$10+'定数データ'!D$11*LOG('河口湖生データ'!B47,EXP(1))+'定数データ'!D$12*LOG('河口湖生データ'!B47^3,EXP(1)))</f>
        <v>283.4448792</v>
      </c>
    </row>
    <row r="48">
      <c r="A48" s="4">
        <f>'河口湖生データ'!A48+0.558-0.99</f>
        <v>78.568</v>
      </c>
      <c r="B48" s="4">
        <f>1/('定数データ'!D$10+'定数データ'!D$11*LOG('河口湖生データ'!B48,EXP(1))+'定数データ'!D$12*LOG('河口湖生データ'!B48^3,EXP(1)))</f>
        <v>283.4037041</v>
      </c>
    </row>
    <row r="49">
      <c r="A49" s="4">
        <f>'河口湖生データ'!A49+0.558-0.99</f>
        <v>79.568</v>
      </c>
      <c r="B49" s="4">
        <f>1/('定数データ'!D$10+'定数データ'!D$11*LOG('河口湖生データ'!B49,EXP(1))+'定数データ'!D$12*LOG('河口湖生データ'!B49^3,EXP(1)))</f>
        <v>283.367443</v>
      </c>
    </row>
    <row r="50">
      <c r="A50" s="4">
        <f>'河口湖生データ'!A50+0.558-0.99</f>
        <v>80.568</v>
      </c>
      <c r="B50" s="4">
        <f>1/('定数データ'!D$10+'定数データ'!D$11*LOG('河口湖生データ'!B50,EXP(1))+'定数データ'!D$12*LOG('河口湖生データ'!B50^3,EXP(1)))</f>
        <v>283.3216058</v>
      </c>
    </row>
    <row r="51">
      <c r="A51" s="4">
        <f>'河口湖生データ'!A51+0.558-0.99</f>
        <v>81.568</v>
      </c>
      <c r="B51" s="4">
        <f>1/('定数データ'!D$10+'定数データ'!D$11*LOG('河口湖生データ'!B51,EXP(1))+'定数データ'!D$12*LOG('河口湖生データ'!B51^3,EXP(1)))</f>
        <v>283.2806821</v>
      </c>
    </row>
    <row r="52">
      <c r="A52" s="4">
        <f>'河口湖生データ'!A52+0.558-0.99</f>
        <v>82.568</v>
      </c>
      <c r="B52" s="4">
        <f>1/('定数データ'!D$10+'定数データ'!D$11*LOG('河口湖生データ'!B52,EXP(1))+'定数データ'!D$12*LOG('河口湖生データ'!B52^3,EXP(1)))</f>
        <v>283.2350421</v>
      </c>
    </row>
    <row r="53">
      <c r="A53" s="4">
        <f>'河口湖生データ'!A53+0.558-0.99</f>
        <v>83.568</v>
      </c>
      <c r="B53" s="4">
        <f>1/('定数データ'!D$10+'定数データ'!D$11*LOG('河口湖生データ'!B53,EXP(1))+'定数データ'!D$12*LOG('河口湖生データ'!B53^3,EXP(1)))</f>
        <v>283.1847183</v>
      </c>
    </row>
    <row r="54">
      <c r="A54" s="4">
        <f>'河口湖生データ'!A54+0.558-0.99</f>
        <v>84.568</v>
      </c>
      <c r="B54" s="4">
        <f>1/('定数データ'!D$10+'定数データ'!D$11*LOG('河口湖生データ'!B54,EXP(1))+'定数データ'!D$12*LOG('河口湖生データ'!B54^3,EXP(1)))</f>
        <v>283.151239</v>
      </c>
    </row>
    <row r="55">
      <c r="A55" s="4">
        <f>'河口湖生データ'!A55+0.558-0.99</f>
        <v>85.568</v>
      </c>
      <c r="B55" s="4">
        <f>1/('定数データ'!D$10+'定数データ'!D$11*LOG('河口湖生データ'!B55,EXP(1))+'定数データ'!D$12*LOG('河口湖生データ'!B55^3,EXP(1)))</f>
        <v>283.1058919</v>
      </c>
    </row>
    <row r="56">
      <c r="A56" s="4">
        <f>'河口湖生データ'!A56+0.558-0.99</f>
        <v>86.568</v>
      </c>
      <c r="B56" s="4">
        <f>1/('定数データ'!D$10+'定数データ'!D$11*LOG('河口湖生データ'!B56,EXP(1))+'定数データ'!D$12*LOG('河口湖生データ'!B56^3,EXP(1)))</f>
        <v>283.0701637</v>
      </c>
    </row>
    <row r="57">
      <c r="A57" s="4">
        <f>'河口湖生データ'!A57+0.558-0.99</f>
        <v>87.568</v>
      </c>
      <c r="B57" s="4">
        <f>1/('定数データ'!D$10+'定数データ'!D$11*LOG('河口湖生データ'!B57,EXP(1))+'定数データ'!D$12*LOG('河口湖生データ'!B57^3,EXP(1)))</f>
        <v>283.0368748</v>
      </c>
    </row>
    <row r="58">
      <c r="A58" s="4">
        <f>'河口湖生データ'!A58+0.558-0.99</f>
        <v>88.568</v>
      </c>
      <c r="B58" s="4">
        <f>1/('定数データ'!D$10+'定数データ'!D$11*LOG('河口湖生データ'!B58,EXP(1))+'定数データ'!D$12*LOG('河口湖生データ'!B58^3,EXP(1)))</f>
        <v>283.0155038</v>
      </c>
    </row>
    <row r="59">
      <c r="A59" s="4">
        <f>'河口湖生データ'!A59+0.558-0.99</f>
        <v>89.568</v>
      </c>
      <c r="B59" s="4">
        <f>1/('定数データ'!D$10+'定数データ'!D$11*LOG('河口湖生データ'!B59,EXP(1))+'定数データ'!D$12*LOG('河口湖生データ'!B59^3,EXP(1)))</f>
        <v>283.0012692</v>
      </c>
    </row>
    <row r="60">
      <c r="A60" s="4">
        <f>'河口湖生データ'!A60+0.558-0.99</f>
        <v>90.568</v>
      </c>
      <c r="B60" s="4">
        <f>1/('定数データ'!D$10+'定数データ'!D$11*LOG('河口湖生データ'!B60,EXP(1))+'定数データ'!D$12*LOG('河口湖生データ'!B60^3,EXP(1)))</f>
        <v>282.9988977</v>
      </c>
    </row>
    <row r="61">
      <c r="A61" s="4">
        <f>'河口湖生データ'!A61+0.558-0.99</f>
        <v>91.568</v>
      </c>
      <c r="B61" s="4">
        <f>1/('定数データ'!D$10+'定数データ'!D$11*LOG('河口湖生データ'!B61,EXP(1))+'定数データ'!D$12*LOG('河口湖生データ'!B61^3,EXP(1)))</f>
        <v>282.9965265</v>
      </c>
    </row>
    <row r="62">
      <c r="A62" s="4">
        <f>'河口湖生データ'!A62+0.558-0.99</f>
        <v>92.568</v>
      </c>
      <c r="B62" s="4">
        <f>1/('定数データ'!D$10+'定数データ'!D$11*LOG('河口湖生データ'!B62,EXP(1))+'定数データ'!D$12*LOG('河口湖生データ'!B62^3,EXP(1)))</f>
        <v>282.9965265</v>
      </c>
    </row>
    <row r="63">
      <c r="A63" s="4">
        <f>'河口湖生データ'!A63+0.558-0.99</f>
        <v>93.568</v>
      </c>
      <c r="B63" s="4">
        <f>1/('定数データ'!D$10+'定数データ'!D$11*LOG('河口湖生データ'!B63,EXP(1))+'定数データ'!D$12*LOG('河口湖生データ'!B63^3,EXP(1)))</f>
        <v>282.9965265</v>
      </c>
    </row>
    <row r="64">
      <c r="A64" s="4">
        <f>'河口湖生データ'!A64+0.558-0.99</f>
        <v>94.568</v>
      </c>
      <c r="B64" s="4">
        <f>1/('定数データ'!D$10+'定数データ'!D$11*LOG('河口湖生データ'!B64,EXP(1))+'定数データ'!D$12*LOG('河口湖生データ'!B64^3,EXP(1)))</f>
        <v>282.9965265</v>
      </c>
    </row>
    <row r="65">
      <c r="A65" s="4">
        <f>'河口湖生データ'!A65+0.558-0.99</f>
        <v>95.568</v>
      </c>
      <c r="B65" s="4">
        <f>1/('定数データ'!D$10+'定数データ'!D$11*LOG('河口湖生データ'!B65,EXP(1))+'定数データ'!D$12*LOG('河口湖生データ'!B65^3,EXP(1)))</f>
        <v>282.9965265</v>
      </c>
    </row>
    <row r="66">
      <c r="A66" s="4">
        <f>'河口湖生データ'!A66+0.558-0.99</f>
        <v>96.568</v>
      </c>
      <c r="B66" s="4">
        <f>1/('定数データ'!D$10+'定数データ'!D$11*LOG('河口湖生データ'!B66,EXP(1))+'定数データ'!D$12*LOG('河口湖生データ'!B66^3,EXP(1)))</f>
        <v>282.9965265</v>
      </c>
    </row>
    <row r="67">
      <c r="A67" s="4">
        <f>'河口湖生データ'!A67+0.558-0.99</f>
        <v>97.568</v>
      </c>
      <c r="B67" s="4">
        <f>1/('定数データ'!D$10+'定数データ'!D$11*LOG('河口湖生データ'!B67,EXP(1))+'定数データ'!D$12*LOG('河口湖生データ'!B67^3,EXP(1)))</f>
        <v>282.9941556</v>
      </c>
    </row>
    <row r="68">
      <c r="A68" s="4">
        <f>'河口湖生データ'!A68+0.558-0.99</f>
        <v>98.568</v>
      </c>
      <c r="B68" s="4">
        <f>1/('定数データ'!D$10+'定数データ'!D$11*LOG('河口湖生データ'!B68,EXP(1))+'定数データ'!D$12*LOG('河口湖生データ'!B68^3,EXP(1)))</f>
        <v>282.9965265</v>
      </c>
    </row>
    <row r="69">
      <c r="A69" s="4">
        <f>'河口湖生データ'!A69+0.558-0.99</f>
        <v>99.568</v>
      </c>
      <c r="B69" s="4">
        <f>1/('定数データ'!D$10+'定数データ'!D$11*LOG('河口湖生データ'!B69,EXP(1))+'定数データ'!D$12*LOG('河口湖生データ'!B69^3,EXP(1)))</f>
        <v>282.9941556</v>
      </c>
    </row>
    <row r="70">
      <c r="A70" s="4">
        <f>'河口湖生データ'!A70+0.558-0.99</f>
        <v>100.568</v>
      </c>
      <c r="B70" s="4">
        <f>1/('定数データ'!D$10+'定数データ'!D$11*LOG('河口湖生データ'!B70,EXP(1))+'定数データ'!D$12*LOG('河口湖生データ'!B70^3,EXP(1)))</f>
        <v>282.9965265</v>
      </c>
    </row>
    <row r="71">
      <c r="A71" s="4">
        <f>'河口湖生データ'!A71+0.558-0.99</f>
        <v>101.568</v>
      </c>
      <c r="B71" s="4">
        <f>1/('定数データ'!D$10+'定数データ'!D$11*LOG('河口湖生データ'!B71,EXP(1))+'定数データ'!D$12*LOG('河口湖生データ'!B71^3,EXP(1)))</f>
        <v>282.9965265</v>
      </c>
    </row>
    <row r="72">
      <c r="A72" s="4">
        <f>'河口湖生データ'!A72+0.558-0.99</f>
        <v>102.568</v>
      </c>
      <c r="B72" s="4">
        <f>1/('定数データ'!D$10+'定数データ'!D$11*LOG('河口湖生データ'!B72,EXP(1))+'定数データ'!D$12*LOG('河口湖生データ'!B72^3,EXP(1)))</f>
        <v>282.9965265</v>
      </c>
    </row>
    <row r="73">
      <c r="A73" s="4">
        <f>'河口湖生データ'!A73+0.558-0.99</f>
        <v>103.568</v>
      </c>
      <c r="B73" s="4">
        <f>1/('定数データ'!D$10+'定数データ'!D$11*LOG('河口湖生データ'!B73,EXP(1))+'定数データ'!D$12*LOG('河口湖生データ'!B73^3,EXP(1)))</f>
        <v>282.9965265</v>
      </c>
    </row>
    <row r="74">
      <c r="A74" s="4">
        <f>'河口湖生データ'!A74+0.558-0.99</f>
        <v>104.568</v>
      </c>
      <c r="B74" s="4">
        <f>1/('定数データ'!D$10+'定数データ'!D$11*LOG('河口湖生データ'!B74,EXP(1))+'定数データ'!D$12*LOG('河口湖生データ'!B74^3,EXP(1)))</f>
        <v>282.9965265</v>
      </c>
    </row>
    <row r="75">
      <c r="A75" s="4">
        <f>'河口湖生データ'!A75+0.558-0.99</f>
        <v>105.568</v>
      </c>
      <c r="B75" s="4">
        <f>1/('定数データ'!D$10+'定数データ'!D$11*LOG('河口湖生データ'!B75,EXP(1))+'定数データ'!D$12*LOG('河口湖生データ'!B75^3,EXP(1)))</f>
        <v>282.9965265</v>
      </c>
    </row>
    <row r="76">
      <c r="A76" s="4">
        <f>'河口湖生データ'!A76+0.558-0.99</f>
        <v>106.568</v>
      </c>
      <c r="B76" s="4">
        <f>1/('定数データ'!D$10+'定数データ'!D$11*LOG('河口湖生データ'!B76,EXP(1))+'定数データ'!D$12*LOG('河口湖生データ'!B76^3,EXP(1)))</f>
        <v>282.9988977</v>
      </c>
    </row>
    <row r="77">
      <c r="A77" s="4">
        <f>'河口湖生データ'!A77+0.558-0.99</f>
        <v>107.568</v>
      </c>
      <c r="B77" s="4">
        <f>1/('定数データ'!D$10+'定数データ'!D$11*LOG('河口湖生データ'!B77,EXP(1))+'定数データ'!D$12*LOG('河口湖生データ'!B77^3,EXP(1)))</f>
        <v>282.9965265</v>
      </c>
    </row>
    <row r="78">
      <c r="A78" s="4">
        <f>'河口湖生データ'!A78+0.558-0.99</f>
        <v>108.568</v>
      </c>
      <c r="B78" s="4">
        <f>1/('定数データ'!D$10+'定数データ'!D$11*LOG('河口湖生データ'!B78,EXP(1))+'定数データ'!D$12*LOG('河口湖生データ'!B78^3,EXP(1)))</f>
        <v>282.9988977</v>
      </c>
    </row>
    <row r="79">
      <c r="A79" s="4">
        <f>'河口湖生データ'!A79+0.558-0.99</f>
        <v>109.568</v>
      </c>
      <c r="B79" s="4">
        <f>1/('定数データ'!D$10+'定数データ'!D$11*LOG('河口湖生データ'!B79,EXP(1))+'定数データ'!D$12*LOG('河口湖生データ'!B79^3,EXP(1)))</f>
        <v>283.0012692</v>
      </c>
    </row>
    <row r="80">
      <c r="A80" s="4">
        <f>'河口湖生データ'!A80+0.558-0.99</f>
        <v>110.568</v>
      </c>
      <c r="B80" s="4">
        <f>1/('定数データ'!D$10+'定数データ'!D$11*LOG('河口湖生データ'!B80,EXP(1))+'定数データ'!D$12*LOG('河口湖生データ'!B80^3,EXP(1)))</f>
        <v>282.9988977</v>
      </c>
    </row>
    <row r="81">
      <c r="A81" s="4">
        <f>'河口湖生データ'!A81+0.558-0.99</f>
        <v>111.568</v>
      </c>
      <c r="B81" s="4">
        <f>1/('定数データ'!D$10+'定数データ'!D$11*LOG('河口湖生データ'!B81,EXP(1))+'定数データ'!D$12*LOG('河口湖生データ'!B81^3,EXP(1)))</f>
        <v>282.9965265</v>
      </c>
    </row>
    <row r="82">
      <c r="A82" s="4">
        <f>'河口湖生データ'!A82+0.558-0.99</f>
        <v>112.568</v>
      </c>
      <c r="B82" s="4">
        <f>1/('定数データ'!D$10+'定数データ'!D$11*LOG('河口湖生データ'!B82,EXP(1))+'定数データ'!D$12*LOG('河口湖生データ'!B82^3,EXP(1)))</f>
        <v>282.9965265</v>
      </c>
    </row>
    <row r="83">
      <c r="A83" s="4">
        <f>'河口湖生データ'!A83+0.558-0.99</f>
        <v>113.568</v>
      </c>
      <c r="B83" s="4">
        <f>1/('定数データ'!D$10+'定数データ'!D$11*LOG('河口湖生データ'!B83,EXP(1))+'定数データ'!D$12*LOG('河口湖生データ'!B83^3,EXP(1)))</f>
        <v>282.9870446</v>
      </c>
    </row>
    <row r="84">
      <c r="A84" s="4">
        <f>'河口湖生データ'!A84+0.558-0.99</f>
        <v>114.568</v>
      </c>
      <c r="B84" s="4">
        <f>1/('定数データ'!D$10+'定数データ'!D$11*LOG('河口湖生データ'!B84,EXP(1))+'定数データ'!D$12*LOG('河口湖生データ'!B84^3,EXP(1)))</f>
        <v>282.9823053</v>
      </c>
    </row>
    <row r="85">
      <c r="A85" s="4">
        <f>'河口湖生データ'!A85+0.558-0.99</f>
        <v>115.568</v>
      </c>
      <c r="B85" s="4">
        <f>1/('定数データ'!D$10+'定数データ'!D$11*LOG('河口湖生データ'!B85,EXP(1))+'定数データ'!D$12*LOG('河口湖生データ'!B85^3,EXP(1)))</f>
        <v>282.9823053</v>
      </c>
    </row>
    <row r="86">
      <c r="A86" s="4">
        <f>'河口湖生データ'!A86+0.558-0.99</f>
        <v>116.568</v>
      </c>
      <c r="B86" s="4">
        <f>1/('定数データ'!D$10+'定数データ'!D$11*LOG('河口湖生データ'!B86,EXP(1))+'定数データ'!D$12*LOG('河口湖生データ'!B86^3,EXP(1)))</f>
        <v>282.9823053</v>
      </c>
    </row>
    <row r="87">
      <c r="A87" s="4">
        <f>'河口湖生データ'!A87+0.558-0.99</f>
        <v>117.568</v>
      </c>
      <c r="B87" s="4">
        <f>1/('定数データ'!D$10+'定数データ'!D$11*LOG('河口湖生データ'!B87,EXP(1))+'定数データ'!D$12*LOG('河口湖生データ'!B87^3,EXP(1)))</f>
        <v>282.9846748</v>
      </c>
    </row>
    <row r="88">
      <c r="A88" s="4">
        <f>'河口湖生データ'!A88+0.558-0.99</f>
        <v>118.568</v>
      </c>
      <c r="B88" s="4">
        <f>1/('定数データ'!D$10+'定数データ'!D$11*LOG('河口湖生データ'!B88,EXP(1))+'定数データ'!D$12*LOG('河口湖生データ'!B88^3,EXP(1)))</f>
        <v>282.9823053</v>
      </c>
    </row>
    <row r="89">
      <c r="A89" s="4">
        <f>'河口湖生データ'!A89+0.558-0.99</f>
        <v>119.568</v>
      </c>
      <c r="B89" s="4">
        <f>1/('定数データ'!D$10+'定数データ'!D$11*LOG('河口湖生データ'!B89,EXP(1))+'定数データ'!D$12*LOG('河口湖生データ'!B89^3,EXP(1)))</f>
        <v>282.9846748</v>
      </c>
    </row>
    <row r="90">
      <c r="A90" s="4">
        <f>'河口湖生データ'!A90+0.558-0.99</f>
        <v>120.568</v>
      </c>
      <c r="B90" s="4">
        <f>1/('定数データ'!D$10+'定数データ'!D$11*LOG('河口湖生データ'!B90,EXP(1))+'定数データ'!D$12*LOG('河口湖生データ'!B90^3,EXP(1)))</f>
        <v>282.9823053</v>
      </c>
    </row>
    <row r="91">
      <c r="A91" s="4">
        <f>'河口湖生データ'!A91+0.558-0.99</f>
        <v>121.568</v>
      </c>
      <c r="B91" s="4">
        <f>1/('定数データ'!D$10+'定数データ'!D$11*LOG('河口湖生データ'!B91,EXP(1))+'定数データ'!D$12*LOG('河口湖生データ'!B91^3,EXP(1)))</f>
        <v>282.9823053</v>
      </c>
    </row>
    <row r="92">
      <c r="A92" s="4">
        <f>'河口湖生データ'!A92+0.558-0.99</f>
        <v>122.568</v>
      </c>
      <c r="B92" s="4">
        <f>1/('定数データ'!D$10+'定数データ'!D$11*LOG('河口湖生データ'!B92,EXP(1))+'定数データ'!D$12*LOG('河口湖生データ'!B92^3,EXP(1)))</f>
        <v>282.9823053</v>
      </c>
    </row>
    <row r="93">
      <c r="A93" s="4">
        <f>'河口湖生データ'!A93+0.558-0.99</f>
        <v>123.568</v>
      </c>
      <c r="B93" s="4">
        <f>1/('定数データ'!D$10+'定数データ'!D$11*LOG('河口湖生データ'!B93,EXP(1))+'定数データ'!D$12*LOG('河口湖生データ'!B93^3,EXP(1)))</f>
        <v>282.9823053</v>
      </c>
    </row>
    <row r="94">
      <c r="A94" s="4">
        <f>'河口湖生データ'!A94+0.558-0.99</f>
        <v>124.568</v>
      </c>
      <c r="B94" s="4">
        <f>1/('定数データ'!D$10+'定数データ'!D$11*LOG('河口湖生データ'!B94,EXP(1))+'定数データ'!D$12*LOG('河口湖生データ'!B94^3,EXP(1)))</f>
        <v>282.9846748</v>
      </c>
    </row>
    <row r="95">
      <c r="A95" s="4">
        <f>'河口湖生データ'!A95+0.558-0.99</f>
        <v>125.118</v>
      </c>
      <c r="B95" s="4">
        <f>1/('定数データ'!D$10+'定数データ'!D$11*LOG('河口湖生データ'!B95,EXP(1))+'定数データ'!D$12*LOG('河口湖生データ'!B95^3,EXP(1)))</f>
        <v>282.9799361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f>'河口湖変換後データ'!A1</f>
        <v>31.568</v>
      </c>
      <c r="B1" s="4">
        <f>'河口湖変換後データ'!B1 - 273.15</f>
        <v>11.3627914</v>
      </c>
    </row>
    <row r="2">
      <c r="A2" s="4">
        <f>'河口湖変換後データ'!A2</f>
        <v>32.568</v>
      </c>
      <c r="B2" s="4">
        <f>'河口湖変換後データ'!B2 - 273.15</f>
        <v>11.12897302</v>
      </c>
    </row>
    <row r="3">
      <c r="A3" s="4">
        <f>'河口湖変換後データ'!A3</f>
        <v>33.568</v>
      </c>
      <c r="B3" s="4">
        <f>'河口湖変換後データ'!B3 - 273.15</f>
        <v>10.99046988</v>
      </c>
    </row>
    <row r="4">
      <c r="A4" s="4">
        <f>'河口湖変換後データ'!A4</f>
        <v>34.568</v>
      </c>
      <c r="B4" s="4">
        <f>'河口湖変換後データ'!B4 - 273.15</f>
        <v>10.87785077</v>
      </c>
    </row>
    <row r="5">
      <c r="A5" s="4">
        <f>'河口湖変換後データ'!A5</f>
        <v>35.568</v>
      </c>
      <c r="B5" s="4">
        <f>'河口湖変換後データ'!B5 - 273.15</f>
        <v>10.78572093</v>
      </c>
    </row>
    <row r="6">
      <c r="A6" s="4">
        <f>'河口湖変換後データ'!A6</f>
        <v>36.568</v>
      </c>
      <c r="B6" s="4">
        <f>'河口湖変換後データ'!B6 - 273.15</f>
        <v>10.75841186</v>
      </c>
    </row>
    <row r="7">
      <c r="A7" s="4">
        <f>'河口湖変換後データ'!A7</f>
        <v>37.568</v>
      </c>
      <c r="B7" s="4">
        <f>'河口湖変換後データ'!B7 - 273.15</f>
        <v>10.75841186</v>
      </c>
    </row>
    <row r="8">
      <c r="A8" s="4">
        <f>'河口湖変換後データ'!A8</f>
        <v>38.568</v>
      </c>
      <c r="B8" s="4">
        <f>'河口湖変換後データ'!B8 - 273.15</f>
        <v>10.74849044</v>
      </c>
    </row>
    <row r="9">
      <c r="A9" s="4">
        <f>'河口湖変換後データ'!A9</f>
        <v>39.568</v>
      </c>
      <c r="B9" s="4">
        <f>'河口湖変換後データ'!B9 - 273.15</f>
        <v>10.74105258</v>
      </c>
    </row>
    <row r="10">
      <c r="A10" s="4">
        <f>'河口湖変換後データ'!A10</f>
        <v>40.568</v>
      </c>
      <c r="B10" s="4">
        <f>'河口湖変換後データ'!B10 - 273.15</f>
        <v>10.73113969</v>
      </c>
    </row>
    <row r="11">
      <c r="A11" s="4">
        <f>'河口湖変換後データ'!A11</f>
        <v>41.568</v>
      </c>
      <c r="B11" s="4">
        <f>'河口湖変換後データ'!B11 - 273.15</f>
        <v>10.73113969</v>
      </c>
    </row>
    <row r="12">
      <c r="A12" s="4">
        <f>'河口湖変換後データ'!A12</f>
        <v>42.568</v>
      </c>
      <c r="B12" s="4">
        <f>'河口湖変換後データ'!B12 - 273.15</f>
        <v>10.73361746</v>
      </c>
    </row>
    <row r="13">
      <c r="A13" s="4">
        <f>'河口湖変換後データ'!A13</f>
        <v>43.568</v>
      </c>
      <c r="B13" s="4">
        <f>'河口湖変換後データ'!B13 - 273.15</f>
        <v>10.73361746</v>
      </c>
    </row>
    <row r="14">
      <c r="A14" s="4">
        <f>'河口湖変換後データ'!A14</f>
        <v>44.568</v>
      </c>
      <c r="B14" s="4">
        <f>'河口湖変換後データ'!B14 - 273.15</f>
        <v>10.73609553</v>
      </c>
    </row>
    <row r="15">
      <c r="A15" s="4">
        <f>'河口湖変換後データ'!A15</f>
        <v>45.568</v>
      </c>
      <c r="B15" s="4">
        <f>'河口湖変換後データ'!B15 - 273.15</f>
        <v>10.7385739</v>
      </c>
    </row>
    <row r="16">
      <c r="A16" s="4">
        <f>'河口湖変換後データ'!A16</f>
        <v>46.568</v>
      </c>
      <c r="B16" s="4">
        <f>'河口湖変換後データ'!B16 - 273.15</f>
        <v>10.74353156</v>
      </c>
    </row>
    <row r="17">
      <c r="A17" s="4">
        <f>'河口湖変換後データ'!A17</f>
        <v>47.568</v>
      </c>
      <c r="B17" s="4">
        <f>'河口湖変換後データ'!B17 - 273.15</f>
        <v>10.74353156</v>
      </c>
    </row>
    <row r="18">
      <c r="A18" s="4">
        <f>'河口湖変換後データ'!A18</f>
        <v>48.568</v>
      </c>
      <c r="B18" s="4">
        <f>'河口湖変換後データ'!B18 - 273.15</f>
        <v>10.75097034</v>
      </c>
    </row>
    <row r="19">
      <c r="A19" s="4">
        <f>'河口湖変換後データ'!A19</f>
        <v>49.568</v>
      </c>
      <c r="B19" s="4">
        <f>'河口湖変換後データ'!B19 - 273.15</f>
        <v>10.75841186</v>
      </c>
    </row>
    <row r="20">
      <c r="A20" s="4">
        <f>'河口湖変換後データ'!A20</f>
        <v>50.568</v>
      </c>
      <c r="B20" s="4">
        <f>'河口湖変換後データ'!B20 - 273.15</f>
        <v>10.7633744</v>
      </c>
    </row>
    <row r="21">
      <c r="A21" s="4">
        <f>'河口湖変換後データ'!A21</f>
        <v>51.568</v>
      </c>
      <c r="B21" s="4">
        <f>'河口湖変換後データ'!B21 - 273.15</f>
        <v>10.7708205</v>
      </c>
    </row>
    <row r="22">
      <c r="A22" s="4">
        <f>'河口湖変換後データ'!A22</f>
        <v>52.568</v>
      </c>
      <c r="B22" s="4">
        <f>'河口湖変換後データ'!B22 - 273.15</f>
        <v>10.7708205</v>
      </c>
    </row>
    <row r="23">
      <c r="A23" s="4">
        <f>'河口湖変換後データ'!A23</f>
        <v>53.568</v>
      </c>
      <c r="B23" s="4">
        <f>'河口湖変換後データ'!B23 - 273.15</f>
        <v>10.78572093</v>
      </c>
    </row>
    <row r="24">
      <c r="A24" s="4">
        <f>'河口湖変換後データ'!A24</f>
        <v>54.568</v>
      </c>
      <c r="B24" s="4">
        <f>'河口湖変換後データ'!B24 - 273.15</f>
        <v>10.80063238</v>
      </c>
    </row>
    <row r="25">
      <c r="A25" s="4">
        <f>'河口湖変換後データ'!A25</f>
        <v>55.568</v>
      </c>
      <c r="B25" s="4">
        <f>'河口湖変換後データ'!B25 - 273.15</f>
        <v>10.80809223</v>
      </c>
    </row>
    <row r="26">
      <c r="A26" s="4">
        <f>'河口湖変換後データ'!A26</f>
        <v>56.568</v>
      </c>
      <c r="B26" s="4">
        <f>'河口湖変換後データ'!B26 - 273.15</f>
        <v>10.82550929</v>
      </c>
    </row>
    <row r="27">
      <c r="A27" s="4">
        <f>'河口湖変換後データ'!A27</f>
        <v>57.568</v>
      </c>
      <c r="B27" s="4">
        <f>'河口湖変換後データ'!B27 - 273.15</f>
        <v>10.82550929</v>
      </c>
    </row>
    <row r="28">
      <c r="A28" s="4">
        <f>'河口湖変換後データ'!A28</f>
        <v>58.568</v>
      </c>
      <c r="B28" s="4">
        <f>'河口湖変換後データ'!B28 - 273.15</f>
        <v>10.82302022</v>
      </c>
    </row>
    <row r="29">
      <c r="A29" s="4">
        <f>'河口湖変換後データ'!A29</f>
        <v>59.568</v>
      </c>
      <c r="B29" s="4">
        <f>'河口湖変換後データ'!B29 - 273.15</f>
        <v>10.81804299</v>
      </c>
    </row>
    <row r="30">
      <c r="A30" s="4">
        <f>'河口湖変換後データ'!A30</f>
        <v>60.568</v>
      </c>
      <c r="B30" s="4">
        <f>'河口湖変換後データ'!B30 - 273.15</f>
        <v>10.78820541</v>
      </c>
    </row>
    <row r="31">
      <c r="A31" s="4">
        <f>'河口湖変換後データ'!A31</f>
        <v>61.568</v>
      </c>
      <c r="B31" s="4">
        <f>'河口湖変換後データ'!B31 - 273.15</f>
        <v>10.75841186</v>
      </c>
    </row>
    <row r="32">
      <c r="A32" s="4">
        <f>'河口湖変換後データ'!A32</f>
        <v>62.568</v>
      </c>
      <c r="B32" s="4">
        <f>'河口湖変換後データ'!B32 - 273.15</f>
        <v>10.73113969</v>
      </c>
    </row>
    <row r="33">
      <c r="A33" s="4">
        <f>'河口湖変換後データ'!A33</f>
        <v>63.568</v>
      </c>
      <c r="B33" s="4">
        <f>'河口湖変換後データ'!B33 - 273.15</f>
        <v>10.69153677</v>
      </c>
    </row>
    <row r="34">
      <c r="A34" s="4">
        <f>'河口湖変換後データ'!A34</f>
        <v>64.568</v>
      </c>
      <c r="B34" s="4">
        <f>'河口湖変換後データ'!B34 - 273.15</f>
        <v>10.66188551</v>
      </c>
    </row>
    <row r="35">
      <c r="A35" s="4">
        <f>'河口湖変換後データ'!A35</f>
        <v>65.568</v>
      </c>
      <c r="B35" s="4">
        <f>'河口湖変換後データ'!B35 - 273.15</f>
        <v>10.63474344</v>
      </c>
    </row>
    <row r="36">
      <c r="A36" s="4">
        <f>'河口湖変換後データ'!A36</f>
        <v>66.568</v>
      </c>
      <c r="B36" s="4">
        <f>'河口湖変換後データ'!B36 - 273.15</f>
        <v>10.60763784</v>
      </c>
    </row>
    <row r="37">
      <c r="A37" s="4">
        <f>'河口湖変換後データ'!A37</f>
        <v>67.568</v>
      </c>
      <c r="B37" s="4">
        <f>'河口湖変換後データ'!B37 - 273.15</f>
        <v>10.58302797</v>
      </c>
    </row>
    <row r="38">
      <c r="A38" s="4">
        <f>'河口湖変換後データ'!A38</f>
        <v>68.568</v>
      </c>
      <c r="B38" s="4">
        <f>'河口湖変換後データ'!B38 - 273.15</f>
        <v>10.55599177</v>
      </c>
    </row>
    <row r="39">
      <c r="A39" s="4">
        <f>'河口湖変換後データ'!A39</f>
        <v>69.568</v>
      </c>
      <c r="B39" s="4">
        <f>'河口湖変換後データ'!B39 - 273.15</f>
        <v>10.53144484</v>
      </c>
    </row>
    <row r="40">
      <c r="A40" s="4">
        <f>'河口湖変換後データ'!A40</f>
        <v>70.568</v>
      </c>
      <c r="B40" s="4">
        <f>'河口湖変換後データ'!B40 - 273.15</f>
        <v>10.50202793</v>
      </c>
    </row>
    <row r="41">
      <c r="A41" s="4">
        <f>'河口湖変換後データ'!A41</f>
        <v>71.568</v>
      </c>
      <c r="B41" s="4">
        <f>'河口湖変換後データ'!B41 - 273.15</f>
        <v>10.47754661</v>
      </c>
    </row>
    <row r="42">
      <c r="A42" s="4">
        <f>'河口湖変換後データ'!A42</f>
        <v>72.568</v>
      </c>
      <c r="B42" s="4">
        <f>'河口湖変換後データ'!B42 - 273.15</f>
        <v>10.44576531</v>
      </c>
    </row>
    <row r="43">
      <c r="A43" s="4">
        <f>'河口湖変換後データ'!A43</f>
        <v>73.568</v>
      </c>
      <c r="B43" s="4">
        <f>'河口湖変換後データ'!B43 - 273.15</f>
        <v>10.41403407</v>
      </c>
    </row>
    <row r="44">
      <c r="A44" s="4">
        <f>'河口湖変換後データ'!A44</f>
        <v>74.568</v>
      </c>
      <c r="B44" s="4">
        <f>'河口湖変換後データ'!B44 - 273.15</f>
        <v>10.38722357</v>
      </c>
    </row>
    <row r="45">
      <c r="A45" s="4">
        <f>'河口湖変換後データ'!A45</f>
        <v>75.568</v>
      </c>
      <c r="B45" s="4">
        <f>'河口湖変換後データ'!B45 - 273.15</f>
        <v>10.3580164</v>
      </c>
    </row>
    <row r="46">
      <c r="A46" s="4">
        <f>'河口湖変換後データ'!A46</f>
        <v>76.568</v>
      </c>
      <c r="B46" s="4">
        <f>'河口湖変換後データ'!B46 - 273.15</f>
        <v>10.32885156</v>
      </c>
    </row>
    <row r="47">
      <c r="A47" s="4">
        <f>'河口湖変換後データ'!A47</f>
        <v>77.568</v>
      </c>
      <c r="B47" s="4">
        <f>'河口湖変換後データ'!B47 - 273.15</f>
        <v>10.29487923</v>
      </c>
    </row>
    <row r="48">
      <c r="A48" s="4">
        <f>'河口湖変換後データ'!A48</f>
        <v>78.568</v>
      </c>
      <c r="B48" s="4">
        <f>'河口湖変換後データ'!B48 - 273.15</f>
        <v>10.2537041</v>
      </c>
    </row>
    <row r="49">
      <c r="A49" s="4">
        <f>'河口湖変換後データ'!A49</f>
        <v>79.568</v>
      </c>
      <c r="B49" s="4">
        <f>'河口湖変換後データ'!B49 - 273.15</f>
        <v>10.21744295</v>
      </c>
    </row>
    <row r="50">
      <c r="A50" s="4">
        <f>'河口湖変換後データ'!A50</f>
        <v>80.568</v>
      </c>
      <c r="B50" s="4">
        <f>'河口湖変換後データ'!B50 - 273.15</f>
        <v>10.17160583</v>
      </c>
    </row>
    <row r="51">
      <c r="A51" s="4">
        <f>'河口湖変換後データ'!A51</f>
        <v>81.568</v>
      </c>
      <c r="B51" s="4">
        <f>'河口湖変換後データ'!B51 - 273.15</f>
        <v>10.13068206</v>
      </c>
    </row>
    <row r="52">
      <c r="A52" s="4">
        <f>'河口湖変換後データ'!A52</f>
        <v>82.568</v>
      </c>
      <c r="B52" s="4">
        <f>'河口湖変換後データ'!B52 - 273.15</f>
        <v>10.08504213</v>
      </c>
    </row>
    <row r="53">
      <c r="A53" s="4">
        <f>'河口湖変換後データ'!A53</f>
        <v>83.568</v>
      </c>
      <c r="B53" s="4">
        <f>'河口湖変換後データ'!B53 - 273.15</f>
        <v>10.0347183</v>
      </c>
    </row>
    <row r="54">
      <c r="A54" s="4">
        <f>'河口湖変換後データ'!A54</f>
        <v>84.568</v>
      </c>
      <c r="B54" s="4">
        <f>'河口湖変換後データ'!B54 - 273.15</f>
        <v>10.00123899</v>
      </c>
    </row>
    <row r="55">
      <c r="A55" s="4">
        <f>'河口湖変換後データ'!A55</f>
        <v>85.568</v>
      </c>
      <c r="B55" s="4">
        <f>'河口湖変換後データ'!B55 - 273.15</f>
        <v>9.95589188</v>
      </c>
    </row>
    <row r="56">
      <c r="A56" s="4">
        <f>'河口湖変換後データ'!A56</f>
        <v>86.568</v>
      </c>
      <c r="B56" s="4">
        <f>'河口湖変換後データ'!B56 - 273.15</f>
        <v>9.920163737</v>
      </c>
    </row>
    <row r="57">
      <c r="A57" s="4">
        <f>'河口湖変換後データ'!A57</f>
        <v>87.568</v>
      </c>
      <c r="B57" s="4">
        <f>'河口湖変換後データ'!B57 - 273.15</f>
        <v>9.886874752</v>
      </c>
    </row>
    <row r="58">
      <c r="A58" s="4">
        <f>'河口湖変換後データ'!A58</f>
        <v>88.568</v>
      </c>
      <c r="B58" s="4">
        <f>'河口湖変換後データ'!B58 - 273.15</f>
        <v>9.865503813</v>
      </c>
    </row>
    <row r="59">
      <c r="A59" s="4">
        <f>'河口湖変換後データ'!A59</f>
        <v>89.568</v>
      </c>
      <c r="B59" s="4">
        <f>'河口湖変換後データ'!B59 - 273.15</f>
        <v>9.851269156</v>
      </c>
    </row>
    <row r="60">
      <c r="A60" s="4">
        <f>'河口湖変換後データ'!A60</f>
        <v>90.568</v>
      </c>
      <c r="B60" s="4">
        <f>'河口湖変換後データ'!B60 - 273.15</f>
        <v>9.848897695</v>
      </c>
    </row>
    <row r="61">
      <c r="A61" s="4">
        <f>'河口湖変換後データ'!A61</f>
        <v>91.568</v>
      </c>
      <c r="B61" s="4">
        <f>'河口湖変換後データ'!B61 - 273.15</f>
        <v>9.846526514</v>
      </c>
    </row>
    <row r="62">
      <c r="A62" s="4">
        <f>'河口湖変換後データ'!A62</f>
        <v>92.568</v>
      </c>
      <c r="B62" s="4">
        <f>'河口湖変換後データ'!B62 - 273.15</f>
        <v>9.846526514</v>
      </c>
    </row>
    <row r="63">
      <c r="A63" s="4">
        <f>'河口湖変換後データ'!A63</f>
        <v>93.568</v>
      </c>
      <c r="B63" s="4">
        <f>'河口湖変換後データ'!B63 - 273.15</f>
        <v>9.846526514</v>
      </c>
    </row>
    <row r="64">
      <c r="A64" s="4">
        <f>'河口湖変換後データ'!A64</f>
        <v>94.568</v>
      </c>
      <c r="B64" s="4">
        <f>'河口湖変換後データ'!B64 - 273.15</f>
        <v>9.846526514</v>
      </c>
    </row>
    <row r="65">
      <c r="A65" s="4">
        <f>'河口湖変換後データ'!A65</f>
        <v>95.568</v>
      </c>
      <c r="B65" s="4">
        <f>'河口湖変換後データ'!B65 - 273.15</f>
        <v>9.846526514</v>
      </c>
    </row>
    <row r="66">
      <c r="A66" s="4">
        <f>'河口湖変換後データ'!A66</f>
        <v>96.568</v>
      </c>
      <c r="B66" s="4">
        <f>'河口湖変換後データ'!B66 - 273.15</f>
        <v>9.846526514</v>
      </c>
    </row>
    <row r="67">
      <c r="A67" s="4">
        <f>'河口湖変換後データ'!A67</f>
        <v>97.568</v>
      </c>
      <c r="B67" s="4">
        <f>'河口湖変換後データ'!B67 - 273.15</f>
        <v>9.844155613</v>
      </c>
    </row>
    <row r="68">
      <c r="A68" s="4">
        <f>'河口湖変換後データ'!A68</f>
        <v>98.568</v>
      </c>
      <c r="B68" s="4">
        <f>'河口湖変換後データ'!B68 - 273.15</f>
        <v>9.846526514</v>
      </c>
    </row>
    <row r="69">
      <c r="A69" s="4">
        <f>'河口湖変換後データ'!A69</f>
        <v>99.568</v>
      </c>
      <c r="B69" s="4">
        <f>'河口湖変換後データ'!B69 - 273.15</f>
        <v>9.844155613</v>
      </c>
    </row>
    <row r="70">
      <c r="A70" s="4">
        <f>'河口湖変換後データ'!A70</f>
        <v>100.568</v>
      </c>
      <c r="B70" s="4">
        <f>'河口湖変換後データ'!B70 - 273.15</f>
        <v>9.846526514</v>
      </c>
    </row>
    <row r="71">
      <c r="A71" s="4">
        <f>'河口湖変換後データ'!A71</f>
        <v>101.568</v>
      </c>
      <c r="B71" s="4">
        <f>'河口湖変換後データ'!B71 - 273.15</f>
        <v>9.846526514</v>
      </c>
    </row>
    <row r="72">
      <c r="A72" s="4">
        <f>'河口湖変換後データ'!A72</f>
        <v>102.568</v>
      </c>
      <c r="B72" s="4">
        <f>'河口湖変換後データ'!B72 - 273.15</f>
        <v>9.846526514</v>
      </c>
    </row>
    <row r="73">
      <c r="A73" s="4">
        <f>'河口湖変換後データ'!A73</f>
        <v>103.568</v>
      </c>
      <c r="B73" s="4">
        <f>'河口湖変換後データ'!B73 - 273.15</f>
        <v>9.846526514</v>
      </c>
    </row>
    <row r="74">
      <c r="A74" s="4">
        <f>'河口湖変換後データ'!A74</f>
        <v>104.568</v>
      </c>
      <c r="B74" s="4">
        <f>'河口湖変換後データ'!B74 - 273.15</f>
        <v>9.846526514</v>
      </c>
    </row>
    <row r="75">
      <c r="A75" s="4">
        <f>'河口湖変換後データ'!A75</f>
        <v>105.568</v>
      </c>
      <c r="B75" s="4">
        <f>'河口湖変換後データ'!B75 - 273.15</f>
        <v>9.846526514</v>
      </c>
    </row>
    <row r="76">
      <c r="A76" s="4">
        <f>'河口湖変換後データ'!A76</f>
        <v>106.568</v>
      </c>
      <c r="B76" s="4">
        <f>'河口湖変換後データ'!B76 - 273.15</f>
        <v>9.848897695</v>
      </c>
    </row>
    <row r="77">
      <c r="A77" s="4">
        <f>'河口湖変換後データ'!A77</f>
        <v>107.568</v>
      </c>
      <c r="B77" s="4">
        <f>'河口湖変換後データ'!B77 - 273.15</f>
        <v>9.846526514</v>
      </c>
    </row>
    <row r="78">
      <c r="A78" s="4">
        <f>'河口湖変換後データ'!A78</f>
        <v>108.568</v>
      </c>
      <c r="B78" s="4">
        <f>'河口湖変換後データ'!B78 - 273.15</f>
        <v>9.848897695</v>
      </c>
    </row>
    <row r="79">
      <c r="A79" s="4">
        <f>'河口湖変換後データ'!A79</f>
        <v>109.568</v>
      </c>
      <c r="B79" s="4">
        <f>'河口湖変換後データ'!B79 - 273.15</f>
        <v>9.851269156</v>
      </c>
    </row>
    <row r="80">
      <c r="A80" s="4">
        <f>'河口湖変換後データ'!A80</f>
        <v>110.568</v>
      </c>
      <c r="B80" s="4">
        <f>'河口湖変換後データ'!B80 - 273.15</f>
        <v>9.848897695</v>
      </c>
    </row>
    <row r="81">
      <c r="A81" s="4">
        <f>'河口湖変換後データ'!A81</f>
        <v>111.568</v>
      </c>
      <c r="B81" s="4">
        <f>'河口湖変換後データ'!B81 - 273.15</f>
        <v>9.846526514</v>
      </c>
    </row>
    <row r="82">
      <c r="A82" s="4">
        <f>'河口湖変換後データ'!A82</f>
        <v>112.568</v>
      </c>
      <c r="B82" s="4">
        <f>'河口湖変換後データ'!B82 - 273.15</f>
        <v>9.846526514</v>
      </c>
    </row>
    <row r="83">
      <c r="A83" s="4">
        <f>'河口湖変換後データ'!A83</f>
        <v>113.568</v>
      </c>
      <c r="B83" s="4">
        <f>'河口湖変換後データ'!B83 - 273.15</f>
        <v>9.837044591</v>
      </c>
    </row>
    <row r="84">
      <c r="A84" s="4">
        <f>'河口湖変換後データ'!A84</f>
        <v>114.568</v>
      </c>
      <c r="B84" s="4">
        <f>'河口湖変換後データ'!B84 - 273.15</f>
        <v>9.83230531</v>
      </c>
    </row>
    <row r="85">
      <c r="A85" s="4">
        <f>'河口湖変換後データ'!A85</f>
        <v>115.568</v>
      </c>
      <c r="B85" s="4">
        <f>'河口湖変換後データ'!B85 - 273.15</f>
        <v>9.83230531</v>
      </c>
    </row>
    <row r="86">
      <c r="A86" s="4">
        <f>'河口湖変換後データ'!A86</f>
        <v>116.568</v>
      </c>
      <c r="B86" s="4">
        <f>'河口湖変換後データ'!B86 - 273.15</f>
        <v>9.83230531</v>
      </c>
    </row>
    <row r="87">
      <c r="A87" s="4">
        <f>'河口湖変換後データ'!A87</f>
        <v>117.568</v>
      </c>
      <c r="B87" s="4">
        <f>'河口湖変換後データ'!B87 - 273.15</f>
        <v>9.834674811</v>
      </c>
    </row>
    <row r="88">
      <c r="A88" s="4">
        <f>'河口湖変換後データ'!A88</f>
        <v>118.568</v>
      </c>
      <c r="B88" s="4">
        <f>'河口湖変換後データ'!B88 - 273.15</f>
        <v>9.83230531</v>
      </c>
    </row>
    <row r="89">
      <c r="A89" s="4">
        <f>'河口湖変換後データ'!A89</f>
        <v>119.568</v>
      </c>
      <c r="B89" s="4">
        <f>'河口湖変換後データ'!B89 - 273.15</f>
        <v>9.834674811</v>
      </c>
    </row>
    <row r="90">
      <c r="A90" s="4">
        <f>'河口湖変換後データ'!A90</f>
        <v>120.568</v>
      </c>
      <c r="B90" s="4">
        <f>'河口湖変換後データ'!B90 - 273.15</f>
        <v>9.83230531</v>
      </c>
    </row>
    <row r="91">
      <c r="A91" s="4">
        <f>'河口湖変換後データ'!A91</f>
        <v>121.568</v>
      </c>
      <c r="B91" s="4">
        <f>'河口湖変換後データ'!B91 - 273.15</f>
        <v>9.83230531</v>
      </c>
    </row>
    <row r="92">
      <c r="A92" s="4">
        <f>'河口湖変換後データ'!A92</f>
        <v>122.568</v>
      </c>
      <c r="B92" s="4">
        <f>'河口湖変換後データ'!B92 - 273.15</f>
        <v>9.83230531</v>
      </c>
    </row>
    <row r="93">
      <c r="A93" s="4">
        <f>'河口湖変換後データ'!A93</f>
        <v>123.568</v>
      </c>
      <c r="B93" s="4">
        <f>'河口湖変換後データ'!B93 - 273.15</f>
        <v>9.83230531</v>
      </c>
    </row>
    <row r="94">
      <c r="A94" s="4">
        <f>'河口湖変換後データ'!A94</f>
        <v>124.568</v>
      </c>
      <c r="B94" s="4">
        <f>'河口湖変換後データ'!B94 - 273.15</f>
        <v>9.834674811</v>
      </c>
    </row>
    <row r="95">
      <c r="A95" s="4">
        <f>'河口湖変換後データ'!A95</f>
        <v>125.118</v>
      </c>
      <c r="B95" s="4">
        <f>'河口湖変換後データ'!B95 - 273.15</f>
        <v>9.82993609</v>
      </c>
    </row>
    <row r="96">
      <c r="A96" s="4" t="str">
        <f>'河口湖変換後データ'!A96</f>
        <v/>
      </c>
    </row>
    <row r="97">
      <c r="A97" s="4" t="str">
        <f>'河口湖変換後データ'!A97</f>
        <v/>
      </c>
    </row>
    <row r="98">
      <c r="A98" s="4" t="str">
        <f>'河口湖変換後データ'!A98</f>
        <v/>
      </c>
    </row>
    <row r="99">
      <c r="A99" s="4" t="str">
        <f>'河口湖変換後データ'!A99</f>
        <v/>
      </c>
    </row>
    <row r="100">
      <c r="A100" s="4" t="str">
        <f>'河口湖変換後データ'!A100</f>
        <v/>
      </c>
    </row>
    <row r="101">
      <c r="A101" s="4" t="str">
        <f>'河口湖変換後データ'!A101</f>
        <v/>
      </c>
    </row>
    <row r="102">
      <c r="A102" s="4" t="str">
        <f>'河口湖変換後データ'!A102</f>
        <v/>
      </c>
    </row>
    <row r="103">
      <c r="A103" s="4" t="str">
        <f>'河口湖変換後データ'!A103</f>
        <v/>
      </c>
    </row>
    <row r="104">
      <c r="A104" s="4" t="str">
        <f>'河口湖変換後データ'!A104</f>
        <v/>
      </c>
    </row>
    <row r="105">
      <c r="A105" s="4" t="str">
        <f>'河口湖変換後データ'!A105</f>
        <v/>
      </c>
    </row>
    <row r="106">
      <c r="A106" s="4" t="str">
        <f>'河口湖変換後データ'!A106</f>
        <v/>
      </c>
    </row>
    <row r="107">
      <c r="A107" s="4" t="str">
        <f>'河口湖変換後データ'!A107</f>
        <v/>
      </c>
    </row>
    <row r="108">
      <c r="A108" s="4" t="str">
        <f>'河口湖変換後データ'!A108</f>
        <v/>
      </c>
    </row>
    <row r="109">
      <c r="A109" s="4" t="str">
        <f>'河口湖変換後データ'!A109</f>
        <v/>
      </c>
    </row>
    <row r="110">
      <c r="A110" s="4" t="str">
        <f>'河口湖変換後データ'!A110</f>
        <v/>
      </c>
    </row>
    <row r="111">
      <c r="A111" s="4" t="str">
        <f>'河口湖変換後データ'!A111</f>
        <v/>
      </c>
    </row>
    <row r="112">
      <c r="A112" s="4" t="str">
        <f>'河口湖変換後データ'!A112</f>
        <v/>
      </c>
    </row>
    <row r="113">
      <c r="A113" s="4" t="str">
        <f>'河口湖変換後データ'!A113</f>
        <v/>
      </c>
    </row>
    <row r="114">
      <c r="A114" s="4" t="str">
        <f>'河口湖変換後データ'!A114</f>
        <v/>
      </c>
    </row>
    <row r="115">
      <c r="A115" s="4" t="str">
        <f>'河口湖変換後データ'!A115</f>
        <v/>
      </c>
    </row>
    <row r="116">
      <c r="A116" s="4" t="str">
        <f>'河口湖変換後データ'!A116</f>
        <v/>
      </c>
    </row>
    <row r="117">
      <c r="A117" s="4" t="str">
        <f>'河口湖変換後データ'!A117</f>
        <v/>
      </c>
    </row>
    <row r="118">
      <c r="A118" s="4" t="str">
        <f>'河口湖変換後データ'!A118</f>
        <v/>
      </c>
    </row>
    <row r="119">
      <c r="A119" s="4" t="str">
        <f>'河口湖変換後データ'!A119</f>
        <v/>
      </c>
    </row>
    <row r="120">
      <c r="A120" s="4" t="str">
        <f>'河口湖変換後データ'!A120</f>
        <v/>
      </c>
    </row>
    <row r="121">
      <c r="A121" s="4" t="str">
        <f>'河口湖変換後データ'!A121</f>
        <v/>
      </c>
    </row>
    <row r="122">
      <c r="A122" s="4" t="str">
        <f>'河口湖変換後データ'!A122</f>
        <v/>
      </c>
    </row>
    <row r="123">
      <c r="A123" s="4" t="str">
        <f>'河口湖変換後データ'!A123</f>
        <v/>
      </c>
    </row>
    <row r="124">
      <c r="A124" s="4" t="str">
        <f>'河口湖変換後データ'!A124</f>
        <v/>
      </c>
    </row>
    <row r="125">
      <c r="A125" s="4" t="str">
        <f>'河口湖変換後データ'!A125</f>
        <v/>
      </c>
    </row>
    <row r="126">
      <c r="A126" s="4" t="str">
        <f>'河口湖変換後データ'!A126</f>
        <v/>
      </c>
    </row>
    <row r="127">
      <c r="A127" s="4" t="str">
        <f>'河口湖変換後データ'!A127</f>
        <v/>
      </c>
    </row>
    <row r="128">
      <c r="A128" s="4" t="str">
        <f>'河口湖変換後データ'!A128</f>
        <v/>
      </c>
    </row>
    <row r="129">
      <c r="A129" s="4" t="str">
        <f>'河口湖変換後データ'!A129</f>
        <v/>
      </c>
    </row>
    <row r="130">
      <c r="A130" s="4" t="str">
        <f>'河口湖変換後データ'!A130</f>
        <v/>
      </c>
    </row>
    <row r="131">
      <c r="A131" s="4" t="str">
        <f>'河口湖変換後データ'!A131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7.0</v>
      </c>
      <c r="B1" s="3">
        <v>5.3</v>
      </c>
    </row>
    <row r="2">
      <c r="A2" s="1">
        <v>10.0</v>
      </c>
      <c r="B2" s="3">
        <v>5.161</v>
      </c>
    </row>
    <row r="3">
      <c r="A3" s="1">
        <v>15.0</v>
      </c>
      <c r="B3" s="3">
        <v>4.857</v>
      </c>
    </row>
    <row r="4">
      <c r="A4" s="1">
        <v>20.0</v>
      </c>
      <c r="B4" s="3">
        <v>4.57</v>
      </c>
    </row>
    <row r="5">
      <c r="A5" s="1">
        <v>25.0</v>
      </c>
      <c r="B5" s="3">
        <v>4.332</v>
      </c>
    </row>
    <row r="6">
      <c r="A6" s="1">
        <v>30.0</v>
      </c>
      <c r="B6" s="3">
        <v>4.068</v>
      </c>
    </row>
    <row r="7">
      <c r="A7" s="1">
        <v>35.0</v>
      </c>
      <c r="B7" s="3">
        <v>3.822</v>
      </c>
    </row>
    <row r="8">
      <c r="A8" s="1">
        <v>40.0</v>
      </c>
      <c r="B8" s="3">
        <v>3.629</v>
      </c>
    </row>
    <row r="9">
      <c r="A9" s="1">
        <v>45.0</v>
      </c>
      <c r="B9" s="3">
        <v>3.409</v>
      </c>
    </row>
    <row r="10">
      <c r="A10" s="1">
        <v>50.0</v>
      </c>
      <c r="B10" s="3">
        <v>3.273</v>
      </c>
    </row>
    <row r="11">
      <c r="A11" s="1">
        <v>55.0</v>
      </c>
      <c r="B11" s="3">
        <v>3.057</v>
      </c>
    </row>
    <row r="12">
      <c r="A12" s="1">
        <v>60.0</v>
      </c>
      <c r="B12" s="3">
        <v>3.002</v>
      </c>
    </row>
    <row r="13">
      <c r="A13" s="1">
        <v>65.0</v>
      </c>
      <c r="B13" s="3">
        <v>2.949</v>
      </c>
    </row>
    <row r="14">
      <c r="A14" s="1">
        <v>70.0</v>
      </c>
      <c r="B14" s="3">
        <v>2.881</v>
      </c>
    </row>
    <row r="15">
      <c r="A15" s="1">
        <v>75.0</v>
      </c>
      <c r="B15" s="3">
        <v>2.81</v>
      </c>
    </row>
    <row r="16">
      <c r="A16" s="1">
        <v>80.0</v>
      </c>
      <c r="B16" s="3">
        <v>2.757</v>
      </c>
      <c r="C16" s="6">
        <v>2.742</v>
      </c>
      <c r="D16" s="7">
        <v>2.772</v>
      </c>
    </row>
    <row r="17">
      <c r="A17" s="1">
        <v>85.0</v>
      </c>
      <c r="B17" s="3">
        <v>2.62</v>
      </c>
    </row>
    <row r="18">
      <c r="A18" s="1">
        <v>90.0</v>
      </c>
      <c r="B18" s="3">
        <v>2.553</v>
      </c>
    </row>
    <row r="19">
      <c r="A19" s="1">
        <v>95.0</v>
      </c>
      <c r="B19" s="3">
        <v>2.481</v>
      </c>
    </row>
    <row r="20">
      <c r="A20" s="1">
        <v>100.0</v>
      </c>
      <c r="B20" s="3">
        <v>2.423</v>
      </c>
    </row>
    <row r="21">
      <c r="A21" s="1">
        <v>105.0</v>
      </c>
      <c r="B21" s="3">
        <v>2.37</v>
      </c>
    </row>
    <row r="22">
      <c r="A22" s="1">
        <v>110.0</v>
      </c>
      <c r="B22" s="3">
        <v>2.325</v>
      </c>
    </row>
    <row r="23">
      <c r="A23" s="1">
        <v>115.0</v>
      </c>
      <c r="B23" s="3">
        <v>2.286</v>
      </c>
    </row>
    <row r="24">
      <c r="A24" s="1">
        <v>120.0</v>
      </c>
      <c r="B24" s="3">
        <v>2.253</v>
      </c>
    </row>
    <row r="25">
      <c r="A25" s="1">
        <v>125.0</v>
      </c>
      <c r="B25" s="3">
        <v>2.225</v>
      </c>
    </row>
    <row r="26">
      <c r="A26" s="1">
        <v>130.0</v>
      </c>
      <c r="B26" s="3">
        <v>2.2</v>
      </c>
    </row>
    <row r="27">
      <c r="A27" s="1">
        <v>135.0</v>
      </c>
      <c r="B27" s="3">
        <v>2.177</v>
      </c>
    </row>
    <row r="28">
      <c r="A28" s="1">
        <v>140.0</v>
      </c>
      <c r="B28" s="3">
        <v>2.158</v>
      </c>
    </row>
    <row r="29">
      <c r="A29" s="1">
        <v>145.0</v>
      </c>
      <c r="B29" s="3">
        <v>2.142</v>
      </c>
    </row>
    <row r="30">
      <c r="A30" s="1">
        <v>150.0</v>
      </c>
      <c r="B30" s="3">
        <v>2.128</v>
      </c>
    </row>
    <row r="31">
      <c r="A31" s="1">
        <v>155.0</v>
      </c>
      <c r="B31" s="3">
        <v>2.114</v>
      </c>
    </row>
    <row r="32">
      <c r="A32" s="1">
        <v>160.0</v>
      </c>
      <c r="B32" s="3">
        <v>2.102</v>
      </c>
    </row>
    <row r="33">
      <c r="A33" s="1">
        <v>165.0</v>
      </c>
      <c r="B33" s="3">
        <v>2.095</v>
      </c>
    </row>
    <row r="34">
      <c r="A34" s="1">
        <v>170.0</v>
      </c>
      <c r="B34" s="3">
        <v>2.084</v>
      </c>
    </row>
    <row r="35">
      <c r="A35" s="1">
        <v>175.0</v>
      </c>
      <c r="B35" s="3">
        <v>2.079</v>
      </c>
    </row>
    <row r="36">
      <c r="A36" s="1">
        <v>180.0</v>
      </c>
      <c r="B36" s="3">
        <v>2.077</v>
      </c>
    </row>
    <row r="37">
      <c r="A37" s="1">
        <v>185.0</v>
      </c>
      <c r="B37" s="3">
        <v>2.08</v>
      </c>
    </row>
    <row r="38">
      <c r="A38" s="1">
        <v>190.0</v>
      </c>
      <c r="B38" s="3">
        <v>2.133</v>
      </c>
    </row>
    <row r="39">
      <c r="A39" s="1">
        <v>195.0</v>
      </c>
      <c r="B39" s="3">
        <v>2.138</v>
      </c>
    </row>
    <row r="40">
      <c r="A40" s="1">
        <v>200.0</v>
      </c>
      <c r="B40" s="3">
        <v>2.133</v>
      </c>
    </row>
    <row r="41">
      <c r="A41" s="1">
        <v>205.0</v>
      </c>
      <c r="B41" s="8">
        <v>2.1221</v>
      </c>
    </row>
    <row r="42">
      <c r="A42" s="1">
        <v>210.0</v>
      </c>
      <c r="B42" s="8">
        <v>2.0812</v>
      </c>
    </row>
    <row r="43">
      <c r="A43" s="1">
        <v>215.0</v>
      </c>
      <c r="B43" s="8">
        <v>2.0774</v>
      </c>
    </row>
    <row r="44">
      <c r="A44" s="1">
        <v>220.0</v>
      </c>
      <c r="B44" s="8">
        <v>2.0725</v>
      </c>
    </row>
    <row r="45">
      <c r="A45" s="1">
        <v>225.0</v>
      </c>
      <c r="B45" s="8">
        <v>2.0672</v>
      </c>
    </row>
    <row r="46">
      <c r="A46" s="1">
        <v>230.0</v>
      </c>
      <c r="B46" s="8">
        <v>2.0612</v>
      </c>
    </row>
    <row r="47">
      <c r="A47" s="1">
        <v>235.0</v>
      </c>
      <c r="B47" s="8">
        <v>2.056</v>
      </c>
    </row>
    <row r="48">
      <c r="A48" s="1">
        <v>240.0</v>
      </c>
      <c r="B48" s="8">
        <v>2.0479</v>
      </c>
    </row>
    <row r="49">
      <c r="A49" s="1">
        <v>245.0</v>
      </c>
      <c r="B49" s="8">
        <v>2.0389</v>
      </c>
    </row>
    <row r="50">
      <c r="A50" s="1">
        <v>250.0</v>
      </c>
      <c r="B50" s="8">
        <v>2.0283</v>
      </c>
    </row>
    <row r="51">
      <c r="A51" s="1">
        <v>255.0</v>
      </c>
      <c r="B51" s="8">
        <v>2.0226</v>
      </c>
    </row>
    <row r="52">
      <c r="A52" s="1">
        <v>260.0</v>
      </c>
      <c r="B52" s="3">
        <v>2.017</v>
      </c>
    </row>
    <row r="53">
      <c r="A53" s="1">
        <v>265.0</v>
      </c>
      <c r="B53" s="3">
        <v>2.006</v>
      </c>
    </row>
    <row r="54">
      <c r="A54" s="1">
        <v>270.0</v>
      </c>
      <c r="B54" s="3">
        <v>1.969</v>
      </c>
    </row>
    <row r="55">
      <c r="A55" s="1">
        <v>275.0</v>
      </c>
      <c r="B55" s="3">
        <v>1.936</v>
      </c>
    </row>
    <row r="56">
      <c r="A56" s="1">
        <v>280.0</v>
      </c>
      <c r="B56" s="3">
        <v>1.904</v>
      </c>
    </row>
    <row r="57">
      <c r="A57" s="1">
        <v>285.0</v>
      </c>
      <c r="B57" s="3">
        <v>1.868</v>
      </c>
    </row>
    <row r="58">
      <c r="A58" s="1">
        <v>290.0</v>
      </c>
      <c r="B58" s="3">
        <v>1.839</v>
      </c>
    </row>
    <row r="59">
      <c r="A59" s="1">
        <v>295.0</v>
      </c>
      <c r="B59" s="3">
        <v>1.815</v>
      </c>
    </row>
    <row r="60">
      <c r="A60" s="1">
        <v>300.0</v>
      </c>
      <c r="B60" s="3">
        <v>1.744</v>
      </c>
    </row>
    <row r="61">
      <c r="A61" s="1">
        <v>305.0</v>
      </c>
      <c r="B61" s="8">
        <v>1.673</v>
      </c>
    </row>
    <row r="62">
      <c r="A62" s="1">
        <v>310.0</v>
      </c>
      <c r="B62" s="8">
        <v>1.6408</v>
      </c>
    </row>
    <row r="63">
      <c r="A63" s="1">
        <v>315.0</v>
      </c>
      <c r="B63" s="8">
        <v>1.6193</v>
      </c>
    </row>
    <row r="64">
      <c r="A64" s="1">
        <v>320.0</v>
      </c>
      <c r="B64" s="8">
        <v>1.6017</v>
      </c>
    </row>
    <row r="65">
      <c r="A65" s="1">
        <v>325.0</v>
      </c>
      <c r="B65" s="8">
        <v>1.5861</v>
      </c>
    </row>
    <row r="66">
      <c r="A66" s="1">
        <v>330.0</v>
      </c>
      <c r="B66" s="8">
        <v>1.5717</v>
      </c>
    </row>
    <row r="67">
      <c r="A67" s="1">
        <v>335.0</v>
      </c>
      <c r="B67" s="8">
        <v>1.5594</v>
      </c>
    </row>
    <row r="68">
      <c r="A68" s="1">
        <v>340.0</v>
      </c>
      <c r="B68" s="8">
        <v>1.5482</v>
      </c>
    </row>
    <row r="69">
      <c r="A69" s="1">
        <v>345.0</v>
      </c>
      <c r="B69" s="8">
        <v>1.538</v>
      </c>
    </row>
    <row r="70">
      <c r="A70" s="1">
        <v>350.0</v>
      </c>
      <c r="B70" s="8">
        <v>1.5287</v>
      </c>
    </row>
    <row r="71">
      <c r="A71" s="1">
        <v>355.0</v>
      </c>
      <c r="B71" s="8">
        <v>1.5192</v>
      </c>
    </row>
    <row r="72">
      <c r="A72" s="1">
        <v>359.97</v>
      </c>
      <c r="B72" s="8">
        <v>1.5121</v>
      </c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f>'箱根湯本生データ'!A1+0.558+0.05</f>
        <v>7.608</v>
      </c>
      <c r="B1" s="4">
        <f>1/('定数データ'!D$10+'定数データ'!D$11*LOG('箱根湯本生データ'!B1,EXP(1))+'定数データ'!D$12*LOG('箱根湯本生データ'!B1^3,EXP(1)))</f>
        <v>298.2896162</v>
      </c>
    </row>
    <row r="2">
      <c r="A2" s="4">
        <f>'箱根湯本生データ'!A2+0.558+0.05</f>
        <v>10.608</v>
      </c>
      <c r="B2" s="4">
        <f>1/('定数データ'!D$10+'定数データ'!D$11*LOG('箱根湯本生データ'!B2,EXP(1))+'定数データ'!D$12*LOG('箱根湯本生データ'!B2^3,EXP(1)))</f>
        <v>298.9814299</v>
      </c>
    </row>
    <row r="3">
      <c r="A3" s="4">
        <f>'箱根湯本生データ'!A3+0.558+0.05</f>
        <v>15.608</v>
      </c>
      <c r="B3" s="4">
        <f>1/('定数データ'!D$10+'定数データ'!D$11*LOG('箱根湯本生データ'!B3,EXP(1))+'定数データ'!D$12*LOG('箱根湯本生データ'!B3^3,EXP(1)))</f>
        <v>300.5738624</v>
      </c>
    </row>
    <row r="4">
      <c r="A4" s="4">
        <f>'箱根湯本生データ'!A4+0.558+0.05</f>
        <v>20.608</v>
      </c>
      <c r="B4" s="4">
        <f>1/('定数データ'!D$10+'定数データ'!D$11*LOG('箱根湯本生データ'!B4,EXP(1))+'定数データ'!D$12*LOG('箱根湯本生データ'!B4^3,EXP(1)))</f>
        <v>302.1886361</v>
      </c>
    </row>
    <row r="5">
      <c r="A5" s="4">
        <f>'箱根湯本生データ'!A5+0.558+0.05</f>
        <v>25.608</v>
      </c>
      <c r="B5" s="4">
        <f>1/('定数データ'!D$10+'定数データ'!D$11*LOG('箱根湯本生データ'!B5,EXP(1))+'定数データ'!D$12*LOG('箱根湯本生データ'!B5^3,EXP(1)))</f>
        <v>303.620964</v>
      </c>
    </row>
    <row r="6">
      <c r="A6" s="4">
        <f>'箱根湯本生データ'!A6+0.558+0.05</f>
        <v>30.608</v>
      </c>
      <c r="B6" s="4">
        <f>1/('定数データ'!D$10+'定数データ'!D$11*LOG('箱根湯本生データ'!B6,EXP(1))+'定数データ'!D$12*LOG('箱根湯本生データ'!B6^3,EXP(1)))</f>
        <v>305.3223298</v>
      </c>
    </row>
    <row r="7">
      <c r="A7" s="4">
        <f>'箱根湯本生データ'!A7+0.558+0.05</f>
        <v>35.608</v>
      </c>
      <c r="B7" s="4">
        <f>1/('定数データ'!D$10+'定数データ'!D$11*LOG('箱根湯本生データ'!B7,EXP(1))+'定数データ'!D$12*LOG('箱根湯本生データ'!B7^3,EXP(1)))</f>
        <v>307.0291065</v>
      </c>
    </row>
    <row r="8">
      <c r="A8" s="4">
        <f>'箱根湯本生データ'!A8+0.558+0.05</f>
        <v>40.608</v>
      </c>
      <c r="B8" s="4">
        <f>1/('定数データ'!D$10+'定数データ'!D$11*LOG('箱根湯本生データ'!B8,EXP(1))+'定数データ'!D$12*LOG('箱根湯本生データ'!B8^3,EXP(1)))</f>
        <v>308.4614926</v>
      </c>
    </row>
    <row r="9">
      <c r="A9" s="4">
        <f>'箱根湯本生データ'!A9+0.558+0.05</f>
        <v>45.608</v>
      </c>
      <c r="B9" s="4">
        <f>1/('定数データ'!D$10+'定数データ'!D$11*LOG('箱根湯本生データ'!B9,EXP(1))+'定数データ'!D$12*LOG('箱根湯本生データ'!B9^3,EXP(1)))</f>
        <v>310.2081542</v>
      </c>
    </row>
    <row r="10">
      <c r="A10" s="4">
        <f>'箱根湯本生データ'!A10+0.558+0.05</f>
        <v>50.608</v>
      </c>
      <c r="B10" s="4">
        <f>1/('定数データ'!D$10+'定数データ'!D$11*LOG('箱根湯本生データ'!B10,EXP(1))+'定数データ'!D$12*LOG('箱根湯本生データ'!B10^3,EXP(1)))</f>
        <v>311.3558913</v>
      </c>
    </row>
    <row r="11">
      <c r="A11" s="4">
        <f>'箱根湯本生データ'!A11+0.558+0.05</f>
        <v>55.608</v>
      </c>
      <c r="B11" s="4">
        <f>1/('定数データ'!D$10+'定数データ'!D$11*LOG('箱根湯本生データ'!B11,EXP(1))+'定数データ'!D$12*LOG('箱根湯本生データ'!B11^3,EXP(1)))</f>
        <v>313.2997987</v>
      </c>
    </row>
    <row r="12">
      <c r="A12" s="4">
        <f>'箱根湯本生データ'!A12+0.558+0.05</f>
        <v>60.608</v>
      </c>
      <c r="B12" s="4">
        <f>1/('定数データ'!D$10+'定数データ'!D$11*LOG('箱根湯本生データ'!B12,EXP(1))+'定数データ'!D$12*LOG('箱根湯本生データ'!B12^3,EXP(1)))</f>
        <v>313.8208197</v>
      </c>
    </row>
    <row r="13">
      <c r="A13" s="4">
        <f>'箱根湯本生データ'!A13+0.558+0.05</f>
        <v>65.608</v>
      </c>
      <c r="B13" s="4">
        <f>1/('定数データ'!D$10+'定数データ'!D$11*LOG('箱根湯本生データ'!B13,EXP(1))+'定数データ'!D$12*LOG('箱根湯本生データ'!B13^3,EXP(1)))</f>
        <v>314.3336927</v>
      </c>
    </row>
    <row r="14">
      <c r="A14" s="4">
        <f>'箱根湯本生データ'!A14+0.558+0.05</f>
        <v>70.608</v>
      </c>
      <c r="B14" s="4">
        <f>1/('定数データ'!D$10+'定数データ'!D$11*LOG('箱根湯本生データ'!B14,EXP(1))+'定数データ'!D$12*LOG('箱根湯本生データ'!B14^3,EXP(1)))</f>
        <v>315.007929</v>
      </c>
    </row>
    <row r="15">
      <c r="A15" s="4">
        <f>'箱根湯本生データ'!A15+0.558+0.05</f>
        <v>75.608</v>
      </c>
      <c r="B15" s="4">
        <f>1/('定数データ'!D$10+'定数データ'!D$11*LOG('箱根湯本生データ'!B15,EXP(1))+'定数データ'!D$12*LOG('箱根湯本生データ'!B15^3,EXP(1)))</f>
        <v>315.7323191</v>
      </c>
    </row>
    <row r="16">
      <c r="A16" s="4">
        <f>'箱根湯本生データ'!A16+0.558+0.05</f>
        <v>80.608</v>
      </c>
      <c r="B16" s="4">
        <f>1/('定数データ'!D$10+'定数データ'!D$11*LOG('箱根湯本生データ'!B16,EXP(1))+'定数データ'!D$12*LOG('箱根湯本生データ'!B16^3,EXP(1)))</f>
        <v>316.2873387</v>
      </c>
    </row>
    <row r="17">
      <c r="A17" s="4">
        <f>'箱根湯本生データ'!A17+0.558+0.05</f>
        <v>85.608</v>
      </c>
      <c r="B17" s="4">
        <f>1/('定数データ'!D$10+'定数データ'!D$11*LOG('箱根湯本生データ'!B17,EXP(1))+'定数データ'!D$12*LOG('箱根湯本生データ'!B17^3,EXP(1)))</f>
        <v>317.7826313</v>
      </c>
    </row>
    <row r="18">
      <c r="A18" s="4">
        <f>'箱根湯本生データ'!A18+0.558+0.05</f>
        <v>90.608</v>
      </c>
      <c r="B18" s="4">
        <f>1/('定数データ'!D$10+'定数データ'!D$11*LOG('箱根湯本生データ'!B18,EXP(1))+'定数データ'!D$12*LOG('箱根湯本生データ'!B18^3,EXP(1)))</f>
        <v>318.5480542</v>
      </c>
    </row>
    <row r="19">
      <c r="A19" s="4">
        <f>'箱根湯本生データ'!A19+0.558+0.05</f>
        <v>95.608</v>
      </c>
      <c r="B19" s="4">
        <f>1/('定数データ'!D$10+'定数データ'!D$11*LOG('箱根湯本生データ'!B19,EXP(1))+'定数データ'!D$12*LOG('箱根湯本生データ'!B19^3,EXP(1)))</f>
        <v>319.3976165</v>
      </c>
    </row>
    <row r="20">
      <c r="A20" s="4">
        <f>'箱根湯本生データ'!A20+0.558+0.05</f>
        <v>100.608</v>
      </c>
      <c r="B20" s="4">
        <f>1/('定数データ'!D$10+'定数データ'!D$11*LOG('箱根湯本生データ'!B20,EXP(1))+'定数データ'!D$12*LOG('箱根湯本生データ'!B20^3,EXP(1)))</f>
        <v>320.1035432</v>
      </c>
    </row>
    <row r="21">
      <c r="A21" s="4">
        <f>'箱根湯本生データ'!A21+0.558+0.05</f>
        <v>105.608</v>
      </c>
      <c r="B21" s="4">
        <f>1/('定数データ'!D$10+'定数データ'!D$11*LOG('箱根湯本生データ'!B21,EXP(1))+'定数データ'!D$12*LOG('箱根湯本生データ'!B21^3,EXP(1)))</f>
        <v>320.7663778</v>
      </c>
    </row>
    <row r="22">
      <c r="A22" s="4">
        <f>'箱根湯本生データ'!A22+0.558+0.05</f>
        <v>110.608</v>
      </c>
      <c r="B22" s="4">
        <f>1/('定数データ'!D$10+'定数データ'!D$11*LOG('箱根湯本生データ'!B22,EXP(1))+'定数データ'!D$12*LOG('箱根湯本生データ'!B22^3,EXP(1)))</f>
        <v>321.343128</v>
      </c>
    </row>
    <row r="23">
      <c r="A23" s="4">
        <f>'箱根湯本生データ'!A23+0.558+0.05</f>
        <v>115.608</v>
      </c>
      <c r="B23" s="4">
        <f>1/('定数データ'!D$10+'定数データ'!D$11*LOG('箱根湯本生データ'!B23,EXP(1))+'定数データ'!D$12*LOG('箱根湯本生データ'!B23^3,EXP(1)))</f>
        <v>321.853806</v>
      </c>
    </row>
    <row r="24">
      <c r="A24" s="4">
        <f>'箱根湯本生データ'!A24+0.558+0.05</f>
        <v>120.608</v>
      </c>
      <c r="B24" s="4">
        <f>1/('定数データ'!D$10+'定数データ'!D$11*LOG('箱根湯本生データ'!B24,EXP(1))+'定数データ'!D$12*LOG('箱根湯本生データ'!B24^3,EXP(1)))</f>
        <v>322.2940689</v>
      </c>
    </row>
    <row r="25">
      <c r="A25" s="4">
        <f>'箱根湯本生データ'!A25+0.558+0.05</f>
        <v>125.608</v>
      </c>
      <c r="B25" s="4">
        <f>1/('定数データ'!D$10+'定数データ'!D$11*LOG('箱根湯本生データ'!B25,EXP(1))+'定数データ'!D$12*LOG('箱根湯本生データ'!B25^3,EXP(1)))</f>
        <v>322.6736767</v>
      </c>
    </row>
    <row r="26">
      <c r="A26" s="4">
        <f>'箱根湯本生データ'!A26+0.558+0.05</f>
        <v>130.608</v>
      </c>
      <c r="B26" s="4">
        <f>1/('定数データ'!D$10+'定数データ'!D$11*LOG('箱根湯本生データ'!B26,EXP(1))+'定数データ'!D$12*LOG('箱根湯本生データ'!B26^3,EXP(1)))</f>
        <v>323.0174408</v>
      </c>
    </row>
    <row r="27">
      <c r="A27" s="4">
        <f>'箱根湯本生データ'!A27+0.558+0.05</f>
        <v>135.608</v>
      </c>
      <c r="B27" s="4">
        <f>1/('定数データ'!D$10+'定数データ'!D$11*LOG('箱根湯本生データ'!B27,EXP(1))+'定数データ'!D$12*LOG('箱根湯本生データ'!B27^3,EXP(1)))</f>
        <v>323.3378298</v>
      </c>
    </row>
    <row r="28">
      <c r="A28" s="4">
        <f>'箱根湯本生データ'!A28+0.558+0.05</f>
        <v>140.608</v>
      </c>
      <c r="B28" s="4">
        <f>1/('定数データ'!D$10+'定数データ'!D$11*LOG('箱根湯本生データ'!B28,EXP(1))+'定数データ'!D$12*LOG('箱根湯本生データ'!B28^3,EXP(1)))</f>
        <v>323.6055489</v>
      </c>
    </row>
    <row r="29">
      <c r="A29" s="4">
        <f>'箱根湯本生データ'!A29+0.558+0.05</f>
        <v>145.608</v>
      </c>
      <c r="B29" s="4">
        <f>1/('定数データ'!D$10+'定数データ'!D$11*LOG('箱根湯本生データ'!B29,EXP(1))+'定数データ'!D$12*LOG('箱根湯本生データ'!B29^3,EXP(1)))</f>
        <v>323.8331795</v>
      </c>
    </row>
    <row r="30">
      <c r="A30" s="4">
        <f>'箱根湯本生データ'!A30+0.558+0.05</f>
        <v>150.608</v>
      </c>
      <c r="B30" s="4">
        <f>1/('定数データ'!D$10+'定数データ'!D$11*LOG('箱根湯本生データ'!B30,EXP(1))+'定数データ'!D$12*LOG('箱根湯本生データ'!B30^3,EXP(1)))</f>
        <v>324.0340209</v>
      </c>
    </row>
    <row r="31">
      <c r="A31" s="4">
        <f>'箱根湯本生データ'!A31+0.558+0.05</f>
        <v>155.608</v>
      </c>
      <c r="B31" s="4">
        <f>1/('定数データ'!D$10+'定数データ'!D$11*LOG('箱根湯本生データ'!B31,EXP(1))+'定数データ'!D$12*LOG('箱根湯本生データ'!B31^3,EXP(1)))</f>
        <v>324.2364398</v>
      </c>
    </row>
    <row r="32">
      <c r="A32" s="4">
        <f>'箱根湯本生データ'!A32+0.558+0.05</f>
        <v>160.608</v>
      </c>
      <c r="B32" s="4">
        <f>1/('定数データ'!D$10+'定数データ'!D$11*LOG('箱根湯本生データ'!B32,EXP(1))+'定数データ'!D$12*LOG('箱根湯本生データ'!B32^3,EXP(1)))</f>
        <v>324.4112148</v>
      </c>
    </row>
    <row r="33">
      <c r="A33" s="4">
        <f>'箱根湯本生データ'!A33+0.558+0.05</f>
        <v>165.608</v>
      </c>
      <c r="B33" s="4">
        <f>1/('定数データ'!D$10+'定数データ'!D$11*LOG('箱根湯本生データ'!B33,EXP(1))+'定数データ'!D$12*LOG('箱根湯本生データ'!B33^3,EXP(1)))</f>
        <v>324.5137158</v>
      </c>
    </row>
    <row r="34">
      <c r="A34" s="4">
        <f>'箱根湯本生データ'!A34+0.558+0.05</f>
        <v>170.608</v>
      </c>
      <c r="B34" s="4">
        <f>1/('定数データ'!D$10+'定数データ'!D$11*LOG('箱根湯本生データ'!B34,EXP(1))+'定数データ'!D$12*LOG('箱根湯本生データ'!B34^3,EXP(1)))</f>
        <v>324.6756146</v>
      </c>
    </row>
    <row r="35">
      <c r="A35" s="4">
        <f>'箱根湯本生データ'!A35+0.558+0.05</f>
        <v>175.608</v>
      </c>
      <c r="B35" s="4">
        <f>1/('定数データ'!D$10+'定数データ'!D$11*LOG('箱根湯本生データ'!B35,EXP(1))+'定数データ'!D$12*LOG('箱根湯本生データ'!B35^3,EXP(1)))</f>
        <v>324.7495414</v>
      </c>
    </row>
    <row r="36">
      <c r="A36" s="4">
        <f>'箱根湯本生データ'!A36+0.558+0.05</f>
        <v>180.608</v>
      </c>
      <c r="B36" s="4">
        <f>1/('定数データ'!D$10+'定数データ'!D$11*LOG('箱根湯本生データ'!B36,EXP(1))+'定数データ'!D$12*LOG('箱根湯本生データ'!B36^3,EXP(1)))</f>
        <v>324.7791713</v>
      </c>
    </row>
    <row r="37">
      <c r="A37" s="4">
        <f>'箱根湯本生データ'!A37+0.558+0.05</f>
        <v>185.608</v>
      </c>
      <c r="B37" s="4">
        <f>1/('定数データ'!D$10+'定数データ'!D$11*LOG('箱根湯本生データ'!B37,EXP(1))+'定数データ'!D$12*LOG('箱根湯本生データ'!B37^3,EXP(1)))</f>
        <v>324.7347391</v>
      </c>
    </row>
    <row r="38">
      <c r="A38" s="4">
        <f>'箱根湯本生データ'!A38+0.558+0.05</f>
        <v>190.608</v>
      </c>
      <c r="B38" s="4">
        <f>1/('定数データ'!D$10+'定数データ'!D$11*LOG('箱根湯本生データ'!B38,EXP(1))+'定数データ'!D$12*LOG('箱根湯本生データ'!B38^3,EXP(1)))</f>
        <v>323.9621119</v>
      </c>
    </row>
    <row r="39">
      <c r="A39" s="4">
        <f>'箱根湯本生データ'!A39+0.558+0.05</f>
        <v>195.608</v>
      </c>
      <c r="B39" s="4">
        <f>1/('定数データ'!D$10+'定数データ'!D$11*LOG('箱根湯本生データ'!B39,EXP(1))+'定数データ'!D$12*LOG('箱根湯本生データ'!B39^3,EXP(1)))</f>
        <v>323.8904031</v>
      </c>
    </row>
    <row r="40">
      <c r="A40" s="4">
        <f>'箱根湯本生データ'!A40+0.558+0.05</f>
        <v>200.608</v>
      </c>
      <c r="B40" s="4">
        <f>1/('定数データ'!D$10+'定数データ'!D$11*LOG('箱根湯本生データ'!B40,EXP(1))+'定数データ'!D$12*LOG('箱根湯本生データ'!B40^3,EXP(1)))</f>
        <v>323.9621119</v>
      </c>
    </row>
    <row r="41">
      <c r="A41" s="4">
        <f>'箱根湯本生データ'!A41+0.558+0.05</f>
        <v>205.608</v>
      </c>
      <c r="B41" s="4">
        <f>1/('定数データ'!D$10+'定数データ'!D$11*LOG('箱根湯本生データ'!B41,EXP(1))+'定数データ'!D$12*LOG('箱根湯本生データ'!B41^3,EXP(1)))</f>
        <v>324.1191324</v>
      </c>
    </row>
    <row r="42">
      <c r="A42" s="4">
        <f>'箱根湯本生データ'!A42+0.558+0.05</f>
        <v>210.608</v>
      </c>
      <c r="B42" s="4">
        <f>1/('定数データ'!D$10+'定数データ'!D$11*LOG('箱根湯本生データ'!B42,EXP(1))+'定数データ'!D$12*LOG('箱根湯本生データ'!B42^3,EXP(1)))</f>
        <v>324.7169876</v>
      </c>
    </row>
    <row r="43">
      <c r="A43" s="4">
        <f>'箱根湯本生データ'!A43+0.558+0.05</f>
        <v>215.608</v>
      </c>
      <c r="B43" s="4">
        <f>1/('定数データ'!D$10+'定数データ'!D$11*LOG('箱根湯本生データ'!B43,EXP(1))+'定数データ'!D$12*LOG('箱根湯本生データ'!B43^3,EXP(1)))</f>
        <v>324.7732426</v>
      </c>
    </row>
    <row r="44">
      <c r="A44" s="4">
        <f>'箱根湯本生データ'!A44+0.558+0.05</f>
        <v>220.608</v>
      </c>
      <c r="B44" s="4">
        <f>1/('定数データ'!D$10+'定数データ'!D$11*LOG('箱根湯本生データ'!B44,EXP(1))+'定数データ'!D$12*LOG('箱根湯本生データ'!B44^3,EXP(1)))</f>
        <v>324.845963</v>
      </c>
    </row>
    <row r="45">
      <c r="A45" s="4">
        <f>'箱根湯本生データ'!A45+0.558+0.05</f>
        <v>225.608</v>
      </c>
      <c r="B45" s="4">
        <f>1/('定数データ'!D$10+'定数データ'!D$11*LOG('箱根湯本生データ'!B45,EXP(1))+'定数データ'!D$12*LOG('箱根湯本生データ'!B45^3,EXP(1)))</f>
        <v>324.9248503</v>
      </c>
    </row>
    <row r="46">
      <c r="A46" s="4">
        <f>'箱根湯本生データ'!A46+0.558+0.05</f>
        <v>230.608</v>
      </c>
      <c r="B46" s="4">
        <f>1/('定数データ'!D$10+'定数データ'!D$11*LOG('箱根湯本生データ'!B46,EXP(1))+'定数データ'!D$12*LOG('箱根湯本生データ'!B46^3,EXP(1)))</f>
        <v>325.0144477</v>
      </c>
    </row>
    <row r="47">
      <c r="A47" s="4">
        <f>'箱根湯本生データ'!A47+0.558+0.05</f>
        <v>235.608</v>
      </c>
      <c r="B47" s="4">
        <f>1/('定数データ'!D$10+'定数データ'!D$11*LOG('箱根湯本生データ'!B47,EXP(1))+'定数データ'!D$12*LOG('箱根湯本生データ'!B47^3,EXP(1)))</f>
        <v>325.09235</v>
      </c>
    </row>
    <row r="48">
      <c r="A48" s="4">
        <f>'箱根湯本生データ'!A48+0.558+0.05</f>
        <v>240.608</v>
      </c>
      <c r="B48" s="4">
        <f>1/('定数データ'!D$10+'定数データ'!D$11*LOG('箱根湯本生データ'!B48,EXP(1))+'定数データ'!D$12*LOG('箱根湯本生データ'!B48^3,EXP(1)))</f>
        <v>325.2141661</v>
      </c>
    </row>
    <row r="49">
      <c r="A49" s="4">
        <f>'箱根湯本生データ'!A49+0.558+0.05</f>
        <v>245.608</v>
      </c>
      <c r="B49" s="4">
        <f>1/('定数データ'!D$10+'定数データ'!D$11*LOG('箱根湯本生データ'!B49,EXP(1))+'定数データ'!D$12*LOG('箱根湯本生データ'!B49^3,EXP(1)))</f>
        <v>325.3501915</v>
      </c>
    </row>
    <row r="50">
      <c r="A50" s="4">
        <f>'箱根湯本生データ'!A50+0.558+0.05</f>
        <v>250.608</v>
      </c>
      <c r="B50" s="4">
        <f>1/('定数データ'!D$10+'定数データ'!D$11*LOG('箱根湯本生データ'!B50,EXP(1))+'定数データ'!D$12*LOG('箱根湯本生データ'!B50^3,EXP(1)))</f>
        <v>325.5113185</v>
      </c>
    </row>
    <row r="51">
      <c r="A51" s="4">
        <f>'箱根湯本生データ'!A51+0.558+0.05</f>
        <v>255.608</v>
      </c>
      <c r="B51" s="4">
        <f>1/('定数データ'!D$10+'定数データ'!D$11*LOG('箱根湯本生データ'!B51,EXP(1))+'定数データ'!D$12*LOG('箱根湯本生データ'!B51^3,EXP(1)))</f>
        <v>325.5983771</v>
      </c>
    </row>
    <row r="52">
      <c r="A52" s="4">
        <f>'箱根湯本生データ'!A52+0.558+0.05</f>
        <v>260.608</v>
      </c>
      <c r="B52" s="4">
        <f>1/('定数データ'!D$10+'定数データ'!D$11*LOG('箱根湯本生データ'!B52,EXP(1))+'定数データ'!D$12*LOG('箱根湯本生データ'!B52^3,EXP(1)))</f>
        <v>325.6841931</v>
      </c>
    </row>
    <row r="53">
      <c r="A53" s="4">
        <f>'箱根湯本生データ'!A53+0.558+0.05</f>
        <v>265.608</v>
      </c>
      <c r="B53" s="4">
        <f>1/('定数データ'!D$10+'定数データ'!D$11*LOG('箱根湯本生データ'!B53,EXP(1))+'定数データ'!D$12*LOG('箱根湯本生データ'!B53^3,EXP(1)))</f>
        <v>325.8535889</v>
      </c>
    </row>
    <row r="54">
      <c r="A54" s="4">
        <f>'箱根湯本生データ'!A54+0.558+0.05</f>
        <v>270.608</v>
      </c>
      <c r="B54" s="4">
        <f>1/('定数データ'!D$10+'定数データ'!D$11*LOG('箱根湯本生データ'!B54,EXP(1))+'定数データ'!D$12*LOG('箱根湯本生データ'!B54^3,EXP(1)))</f>
        <v>326.4315938</v>
      </c>
    </row>
    <row r="55">
      <c r="A55" s="4">
        <f>'箱根湯本生データ'!A55+0.558+0.05</f>
        <v>275.608</v>
      </c>
      <c r="B55" s="4">
        <f>1/('定数データ'!D$10+'定数データ'!D$11*LOG('箱根湯本生データ'!B55,EXP(1))+'定数データ'!D$12*LOG('箱根湯本生データ'!B55^3,EXP(1)))</f>
        <v>326.9581288</v>
      </c>
    </row>
    <row r="56">
      <c r="A56" s="4">
        <f>'箱根湯本生データ'!A56+0.558+0.05</f>
        <v>280.608</v>
      </c>
      <c r="B56" s="4">
        <f>1/('定数データ'!D$10+'定数データ'!D$11*LOG('箱根湯本生データ'!B56,EXP(1))+'定数データ'!D$12*LOG('箱根湯本生データ'!B56^3,EXP(1)))</f>
        <v>327.4790166</v>
      </c>
    </row>
    <row r="57">
      <c r="A57" s="4">
        <f>'箱根湯本生データ'!A57+0.558+0.05</f>
        <v>285.608</v>
      </c>
      <c r="B57" s="4">
        <f>1/('定数データ'!D$10+'定数データ'!D$11*LOG('箱根湯本生データ'!B57,EXP(1))+'定数データ'!D$12*LOG('箱根湯本生データ'!B57^3,EXP(1)))</f>
        <v>328.0776263</v>
      </c>
    </row>
    <row r="58">
      <c r="A58" s="4">
        <f>'箱根湯本生データ'!A58+0.558+0.05</f>
        <v>290.608</v>
      </c>
      <c r="B58" s="4">
        <f>1/('定数データ'!D$10+'定数データ'!D$11*LOG('箱根湯本生データ'!B58,EXP(1))+'定数データ'!D$12*LOG('箱根湯本生データ'!B58^3,EXP(1)))</f>
        <v>328.5699247</v>
      </c>
    </row>
    <row r="59">
      <c r="A59" s="4">
        <f>'箱根湯本生データ'!A59+0.558+0.05</f>
        <v>295.608</v>
      </c>
      <c r="B59" s="4">
        <f>1/('定数データ'!D$10+'定数データ'!D$11*LOG('箱根湯本生データ'!B59,EXP(1))+'定数データ'!D$12*LOG('箱根湯本生データ'!B59^3,EXP(1)))</f>
        <v>328.9843934</v>
      </c>
    </row>
    <row r="60">
      <c r="A60" s="4">
        <f>'箱根湯本生データ'!A60+0.558+0.05</f>
        <v>300.608</v>
      </c>
      <c r="B60" s="4">
        <f>1/('定数データ'!D$10+'定数データ'!D$11*LOG('箱根湯本生データ'!B60,EXP(1))+'定数データ'!D$12*LOG('箱根湯本生データ'!B60^3,EXP(1)))</f>
        <v>330.2498451</v>
      </c>
    </row>
    <row r="61">
      <c r="A61" s="4">
        <f>'箱根湯本生データ'!A61+0.558+0.05</f>
        <v>305.608</v>
      </c>
      <c r="B61" s="4">
        <f>1/('定数データ'!D$10+'定数データ'!D$11*LOG('箱根湯本生データ'!B61,EXP(1))+'定数データ'!D$12*LOG('箱根湯本生データ'!B61^3,EXP(1)))</f>
        <v>331.5782923</v>
      </c>
    </row>
    <row r="62">
      <c r="A62" s="4">
        <f>'箱根湯本生データ'!A62+0.558+0.05</f>
        <v>310.608</v>
      </c>
      <c r="B62" s="4">
        <f>1/('定数データ'!D$10+'定数データ'!D$11*LOG('箱根湯本生データ'!B62,EXP(1))+'定数データ'!D$12*LOG('箱根湯本生データ'!B62^3,EXP(1)))</f>
        <v>332.203138</v>
      </c>
    </row>
    <row r="63">
      <c r="A63" s="4">
        <f>'箱根湯本生データ'!A63+0.558+0.05</f>
        <v>315.608</v>
      </c>
      <c r="B63" s="4">
        <f>1/('定数データ'!D$10+'定数データ'!D$11*LOG('箱根湯本生データ'!B63,EXP(1))+'定数データ'!D$12*LOG('箱根湯本生データ'!B63^3,EXP(1)))</f>
        <v>332.6285569</v>
      </c>
    </row>
    <row r="64">
      <c r="A64" s="4">
        <f>'箱根湯本生データ'!A64+0.558+0.05</f>
        <v>320.608</v>
      </c>
      <c r="B64" s="4">
        <f>1/('定数データ'!D$10+'定数データ'!D$11*LOG('箱根湯本生データ'!B64,EXP(1))+'定数データ'!D$12*LOG('箱根湯本生データ'!B64^3,EXP(1)))</f>
        <v>332.9818588</v>
      </c>
    </row>
    <row r="65">
      <c r="A65" s="4">
        <f>'箱根湯本生データ'!A65+0.558+0.05</f>
        <v>325.608</v>
      </c>
      <c r="B65" s="4">
        <f>1/('定数データ'!D$10+'定数データ'!D$11*LOG('箱根湯本生データ'!B65,EXP(1))+'定数データ'!D$12*LOG('箱根湯本生データ'!B65^3,EXP(1)))</f>
        <v>333.2989113</v>
      </c>
    </row>
    <row r="66">
      <c r="A66" s="4">
        <f>'箱根湯本生データ'!A66+0.558+0.05</f>
        <v>330.608</v>
      </c>
      <c r="B66" s="4">
        <f>1/('定数データ'!D$10+'定数データ'!D$11*LOG('箱根湯本生データ'!B66,EXP(1))+'定数データ'!D$12*LOG('箱根湯本生データ'!B66^3,EXP(1)))</f>
        <v>333.5948992</v>
      </c>
    </row>
    <row r="67">
      <c r="A67" s="4">
        <f>'箱根湯本生データ'!A67+0.558+0.05</f>
        <v>335.608</v>
      </c>
      <c r="B67" s="4">
        <f>1/('定数データ'!D$10+'定数データ'!D$11*LOG('箱根湯本生データ'!B67,EXP(1))+'定数データ'!D$12*LOG('箱根湯本生データ'!B67^3,EXP(1)))</f>
        <v>333.8502994</v>
      </c>
    </row>
    <row r="68">
      <c r="A68" s="4">
        <f>'箱根湯本生データ'!A68+0.558+0.05</f>
        <v>340.608</v>
      </c>
      <c r="B68" s="4">
        <f>1/('定数データ'!D$10+'定数データ'!D$11*LOG('箱根湯本生データ'!B68,EXP(1))+'定数データ'!D$12*LOG('箱根湯本生データ'!B68^3,EXP(1)))</f>
        <v>334.0849616</v>
      </c>
    </row>
    <row r="69">
      <c r="A69" s="4">
        <f>'箱根湯本生データ'!A69+0.558+0.05</f>
        <v>345.608</v>
      </c>
      <c r="B69" s="4">
        <f>1/('定数データ'!D$10+'定数データ'!D$11*LOG('箱根湯本生データ'!B69,EXP(1))+'定数データ'!D$12*LOG('箱根湯本生データ'!B69^3,EXP(1)))</f>
        <v>334.3004437</v>
      </c>
    </row>
    <row r="70">
      <c r="A70" s="4">
        <f>'箱根湯本生データ'!A70+0.558+0.05</f>
        <v>350.608</v>
      </c>
      <c r="B70" s="4">
        <f>1/('定数データ'!D$10+'定数データ'!D$11*LOG('箱根湯本生データ'!B70,EXP(1))+'定数データ'!D$12*LOG('箱根湯本生データ'!B70^3,EXP(1)))</f>
        <v>334.4984066</v>
      </c>
    </row>
    <row r="71">
      <c r="A71" s="4">
        <f>'箱根湯本生データ'!A71+0.558+0.05</f>
        <v>355.608</v>
      </c>
      <c r="B71" s="4">
        <f>1/('定数データ'!D$10+'定数データ'!D$11*LOG('箱根湯本生データ'!B71,EXP(1))+'定数データ'!D$12*LOG('箱根湯本生データ'!B71^3,EXP(1)))</f>
        <v>334.7021185</v>
      </c>
    </row>
    <row r="72">
      <c r="A72" s="4">
        <f>'箱根湯本生データ'!A72+0.558+0.05</f>
        <v>360.578</v>
      </c>
      <c r="B72" s="4">
        <f>1/('定数データ'!D$10+'定数データ'!D$11*LOG('箱根湯本生データ'!B72,EXP(1))+'定数データ'!D$12*LOG('箱根湯本生データ'!B72^3,EXP(1)))</f>
        <v>334.8553633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>
        <f>'箱根湯本変換後データ'!A1</f>
        <v>7.608</v>
      </c>
      <c r="B1" s="4">
        <f>'箱根湯本変換後データ'!B1 - 273.15</f>
        <v>25.13961615</v>
      </c>
    </row>
    <row r="2">
      <c r="A2" s="4">
        <f>'箱根湯本変換後データ'!A2</f>
        <v>10.608</v>
      </c>
      <c r="B2" s="4">
        <f>'箱根湯本変換後データ'!B2 - 273.15</f>
        <v>25.83142992</v>
      </c>
    </row>
    <row r="3">
      <c r="A3" s="4">
        <f>'箱根湯本変換後データ'!A3</f>
        <v>15.608</v>
      </c>
      <c r="B3" s="4">
        <f>'箱根湯本変換後データ'!B3 - 273.15</f>
        <v>27.42386242</v>
      </c>
    </row>
    <row r="4">
      <c r="A4" s="4">
        <f>'箱根湯本変換後データ'!A4</f>
        <v>20.608</v>
      </c>
      <c r="B4" s="4">
        <f>'箱根湯本変換後データ'!B4 - 273.15</f>
        <v>29.03863607</v>
      </c>
    </row>
    <row r="5">
      <c r="A5" s="4">
        <f>'箱根湯本変換後データ'!A5</f>
        <v>25.608</v>
      </c>
      <c r="B5" s="4">
        <f>'箱根湯本変換後データ'!B5 - 273.15</f>
        <v>30.47096396</v>
      </c>
    </row>
    <row r="6">
      <c r="A6" s="4">
        <f>'箱根湯本変換後データ'!A6</f>
        <v>30.608</v>
      </c>
      <c r="B6" s="4">
        <f>'箱根湯本変換後データ'!B6 - 273.15</f>
        <v>32.1723298</v>
      </c>
    </row>
    <row r="7">
      <c r="A7" s="4">
        <f>'箱根湯本変換後データ'!A7</f>
        <v>35.608</v>
      </c>
      <c r="B7" s="4">
        <f>'箱根湯本変換後データ'!B7 - 273.15</f>
        <v>33.87910647</v>
      </c>
    </row>
    <row r="8">
      <c r="A8" s="4">
        <f>'箱根湯本変換後データ'!A8</f>
        <v>40.608</v>
      </c>
      <c r="B8" s="4">
        <f>'箱根湯本変換後データ'!B8 - 273.15</f>
        <v>35.31149257</v>
      </c>
    </row>
    <row r="9">
      <c r="A9" s="4">
        <f>'箱根湯本変換後データ'!A9</f>
        <v>45.608</v>
      </c>
      <c r="B9" s="4">
        <f>'箱根湯本変換後データ'!B9 - 273.15</f>
        <v>37.05815423</v>
      </c>
    </row>
    <row r="10">
      <c r="A10" s="4">
        <f>'箱根湯本変換後データ'!A10</f>
        <v>50.608</v>
      </c>
      <c r="B10" s="4">
        <f>'箱根湯本変換後データ'!B10 - 273.15</f>
        <v>38.20589129</v>
      </c>
    </row>
    <row r="11">
      <c r="A11" s="4">
        <f>'箱根湯本変換後データ'!A11</f>
        <v>55.608</v>
      </c>
      <c r="B11" s="4">
        <f>'箱根湯本変換後データ'!B11 - 273.15</f>
        <v>40.14979874</v>
      </c>
    </row>
    <row r="12">
      <c r="A12" s="4">
        <f>'箱根湯本変換後データ'!A12</f>
        <v>60.608</v>
      </c>
      <c r="B12" s="4">
        <f>'箱根湯本変換後データ'!B12 - 273.15</f>
        <v>40.67081974</v>
      </c>
    </row>
    <row r="13">
      <c r="A13" s="4">
        <f>'箱根湯本変換後データ'!A13</f>
        <v>65.608</v>
      </c>
      <c r="B13" s="4">
        <f>'箱根湯本変換後データ'!B13 - 273.15</f>
        <v>41.18369267</v>
      </c>
    </row>
    <row r="14">
      <c r="A14" s="4">
        <f>'箱根湯本変換後データ'!A14</f>
        <v>70.608</v>
      </c>
      <c r="B14" s="4">
        <f>'箱根湯本変換後データ'!B14 - 273.15</f>
        <v>41.85792903</v>
      </c>
    </row>
    <row r="15">
      <c r="A15" s="4">
        <f>'箱根湯本変換後データ'!A15</f>
        <v>75.608</v>
      </c>
      <c r="B15" s="4">
        <f>'箱根湯本変換後データ'!B15 - 273.15</f>
        <v>42.58231914</v>
      </c>
    </row>
    <row r="16">
      <c r="A16" s="4">
        <f>'箱根湯本変換後データ'!A16</f>
        <v>80.608</v>
      </c>
      <c r="B16" s="4">
        <f>'箱根湯本変換後データ'!B16 - 273.15</f>
        <v>43.13733872</v>
      </c>
    </row>
    <row r="17">
      <c r="A17" s="4">
        <f>'箱根湯本変換後データ'!A17</f>
        <v>85.608</v>
      </c>
      <c r="B17" s="4">
        <f>'箱根湯本変換後データ'!B17 - 273.15</f>
        <v>44.63263134</v>
      </c>
    </row>
    <row r="18">
      <c r="A18" s="4">
        <f>'箱根湯本変換後データ'!A18</f>
        <v>90.608</v>
      </c>
      <c r="B18" s="4">
        <f>'箱根湯本変換後データ'!B18 - 273.15</f>
        <v>45.39805418</v>
      </c>
    </row>
    <row r="19">
      <c r="A19" s="4">
        <f>'箱根湯本変換後データ'!A19</f>
        <v>95.608</v>
      </c>
      <c r="B19" s="4">
        <f>'箱根湯本変換後データ'!B19 - 273.15</f>
        <v>46.24761646</v>
      </c>
    </row>
    <row r="20">
      <c r="A20" s="4">
        <f>'箱根湯本変換後データ'!A20</f>
        <v>100.608</v>
      </c>
      <c r="B20" s="4">
        <f>'箱根湯本変換後データ'!B20 - 273.15</f>
        <v>46.95354319</v>
      </c>
    </row>
    <row r="21">
      <c r="A21" s="4">
        <f>'箱根湯本変換後データ'!A21</f>
        <v>105.608</v>
      </c>
      <c r="B21" s="4">
        <f>'箱根湯本変換後データ'!B21 - 273.15</f>
        <v>47.61637776</v>
      </c>
    </row>
    <row r="22">
      <c r="A22" s="4">
        <f>'箱根湯本変換後データ'!A22</f>
        <v>110.608</v>
      </c>
      <c r="B22" s="4">
        <f>'箱根湯本変換後データ'!B22 - 273.15</f>
        <v>48.19312798</v>
      </c>
    </row>
    <row r="23">
      <c r="A23" s="4">
        <f>'箱根湯本変換後データ'!A23</f>
        <v>115.608</v>
      </c>
      <c r="B23" s="4">
        <f>'箱根湯本変換後データ'!B23 - 273.15</f>
        <v>48.70380603</v>
      </c>
    </row>
    <row r="24">
      <c r="A24" s="4">
        <f>'箱根湯本変換後データ'!A24</f>
        <v>120.608</v>
      </c>
      <c r="B24" s="4">
        <f>'箱根湯本変換後データ'!B24 - 273.15</f>
        <v>49.14406891</v>
      </c>
    </row>
    <row r="25">
      <c r="A25" s="4">
        <f>'箱根湯本変換後データ'!A25</f>
        <v>125.608</v>
      </c>
      <c r="B25" s="4">
        <f>'箱根湯本変換後データ'!B25 - 273.15</f>
        <v>49.52367672</v>
      </c>
    </row>
    <row r="26">
      <c r="A26" s="4">
        <f>'箱根湯本変換後データ'!A26</f>
        <v>130.608</v>
      </c>
      <c r="B26" s="4">
        <f>'箱根湯本変換後データ'!B26 - 273.15</f>
        <v>49.86744085</v>
      </c>
    </row>
    <row r="27">
      <c r="A27" s="4">
        <f>'箱根湯本変換後データ'!A27</f>
        <v>135.608</v>
      </c>
      <c r="B27" s="4">
        <f>'箱根湯本変換後データ'!B27 - 273.15</f>
        <v>50.18782976</v>
      </c>
    </row>
    <row r="28">
      <c r="A28" s="4">
        <f>'箱根湯本変換後データ'!A28</f>
        <v>140.608</v>
      </c>
      <c r="B28" s="4">
        <f>'箱根湯本変換後データ'!B28 - 273.15</f>
        <v>50.45554891</v>
      </c>
    </row>
    <row r="29">
      <c r="A29" s="4">
        <f>'箱根湯本変換後データ'!A29</f>
        <v>145.608</v>
      </c>
      <c r="B29" s="4">
        <f>'箱根湯本変換後データ'!B29 - 273.15</f>
        <v>50.68317945</v>
      </c>
    </row>
    <row r="30">
      <c r="A30" s="4">
        <f>'箱根湯本変換後データ'!A30</f>
        <v>150.608</v>
      </c>
      <c r="B30" s="4">
        <f>'箱根湯本変換後データ'!B30 - 273.15</f>
        <v>50.88402091</v>
      </c>
    </row>
    <row r="31">
      <c r="A31" s="4">
        <f>'箱根湯本変換後データ'!A31</f>
        <v>155.608</v>
      </c>
      <c r="B31" s="4">
        <f>'箱根湯本変換後データ'!B31 - 273.15</f>
        <v>51.08643981</v>
      </c>
    </row>
    <row r="32">
      <c r="A32" s="4">
        <f>'箱根湯本変換後データ'!A32</f>
        <v>160.608</v>
      </c>
      <c r="B32" s="4">
        <f>'箱根湯本変換後データ'!B32 - 273.15</f>
        <v>51.26121476</v>
      </c>
    </row>
    <row r="33">
      <c r="A33" s="4">
        <f>'箱根湯本変換後データ'!A33</f>
        <v>165.608</v>
      </c>
      <c r="B33" s="4">
        <f>'箱根湯本変換後データ'!B33 - 273.15</f>
        <v>51.36371576</v>
      </c>
    </row>
    <row r="34">
      <c r="A34" s="4">
        <f>'箱根湯本変換後データ'!A34</f>
        <v>170.608</v>
      </c>
      <c r="B34" s="4">
        <f>'箱根湯本変換後データ'!B34 - 273.15</f>
        <v>51.5256146</v>
      </c>
    </row>
    <row r="35">
      <c r="A35" s="4">
        <f>'箱根湯本変換後データ'!A35</f>
        <v>175.608</v>
      </c>
      <c r="B35" s="4">
        <f>'箱根湯本変換後データ'!B35 - 273.15</f>
        <v>51.59954137</v>
      </c>
    </row>
    <row r="36">
      <c r="A36" s="4">
        <f>'箱根湯本変換後データ'!A36</f>
        <v>180.608</v>
      </c>
      <c r="B36" s="4">
        <f>'箱根湯本変換後データ'!B36 - 273.15</f>
        <v>51.62917131</v>
      </c>
    </row>
    <row r="37">
      <c r="A37" s="4">
        <f>'箱根湯本変換後データ'!A37</f>
        <v>185.608</v>
      </c>
      <c r="B37" s="4">
        <f>'箱根湯本変換後データ'!B37 - 273.15</f>
        <v>51.5847391</v>
      </c>
    </row>
    <row r="38">
      <c r="A38" s="4">
        <f>'箱根湯本変換後データ'!A38</f>
        <v>190.608</v>
      </c>
      <c r="B38" s="4">
        <f>'箱根湯本変換後データ'!B38 - 273.15</f>
        <v>50.81211192</v>
      </c>
    </row>
    <row r="39">
      <c r="A39" s="4">
        <f>'箱根湯本変換後データ'!A39</f>
        <v>195.608</v>
      </c>
      <c r="B39" s="4">
        <f>'箱根湯本変換後データ'!B39 - 273.15</f>
        <v>50.74040309</v>
      </c>
    </row>
    <row r="40">
      <c r="A40" s="4">
        <f>'箱根湯本変換後データ'!A40</f>
        <v>200.608</v>
      </c>
      <c r="B40" s="4">
        <f>'箱根湯本変換後データ'!B40 - 273.15</f>
        <v>50.81211192</v>
      </c>
    </row>
    <row r="41">
      <c r="A41" s="4">
        <f>'箱根湯本変換後データ'!A41</f>
        <v>205.608</v>
      </c>
      <c r="B41" s="4">
        <f>'箱根湯本変換後データ'!B41 - 273.15</f>
        <v>50.96913238</v>
      </c>
    </row>
    <row r="42">
      <c r="A42" s="4">
        <f>'箱根湯本変換後データ'!A42</f>
        <v>210.608</v>
      </c>
      <c r="B42" s="4">
        <f>'箱根湯本変換後データ'!B42 - 273.15</f>
        <v>51.56698756</v>
      </c>
    </row>
    <row r="43">
      <c r="A43" s="4">
        <f>'箱根湯本変換後データ'!A43</f>
        <v>215.608</v>
      </c>
      <c r="B43" s="4">
        <f>'箱根湯本変換後データ'!B43 - 273.15</f>
        <v>51.62324261</v>
      </c>
    </row>
    <row r="44">
      <c r="A44" s="4">
        <f>'箱根湯本変換後データ'!A44</f>
        <v>220.608</v>
      </c>
      <c r="B44" s="4">
        <f>'箱根湯本変換後データ'!B44 - 273.15</f>
        <v>51.69596298</v>
      </c>
    </row>
    <row r="45">
      <c r="A45" s="4">
        <f>'箱根湯本変換後データ'!A45</f>
        <v>225.608</v>
      </c>
      <c r="B45" s="4">
        <f>'箱根湯本変換後データ'!B45 - 273.15</f>
        <v>51.77485032</v>
      </c>
    </row>
    <row r="46">
      <c r="A46" s="4">
        <f>'箱根湯本変換後データ'!A46</f>
        <v>230.608</v>
      </c>
      <c r="B46" s="4">
        <f>'箱根湯本変換後データ'!B46 - 273.15</f>
        <v>51.86444765</v>
      </c>
    </row>
    <row r="47">
      <c r="A47" s="4">
        <f>'箱根湯本変換後データ'!A47</f>
        <v>235.608</v>
      </c>
      <c r="B47" s="4">
        <f>'箱根湯本変換後データ'!B47 - 273.15</f>
        <v>51.94235003</v>
      </c>
    </row>
    <row r="48">
      <c r="A48" s="4">
        <f>'箱根湯本変換後データ'!A48</f>
        <v>240.608</v>
      </c>
      <c r="B48" s="4">
        <f>'箱根湯本変換後データ'!B48 - 273.15</f>
        <v>52.06416613</v>
      </c>
    </row>
    <row r="49">
      <c r="A49" s="4">
        <f>'箱根湯本変換後データ'!A49</f>
        <v>245.608</v>
      </c>
      <c r="B49" s="4">
        <f>'箱根湯本変換後データ'!B49 - 273.15</f>
        <v>52.20019154</v>
      </c>
    </row>
    <row r="50">
      <c r="A50" s="4">
        <f>'箱根湯本変換後データ'!A50</f>
        <v>250.608</v>
      </c>
      <c r="B50" s="4">
        <f>'箱根湯本変換後データ'!B50 - 273.15</f>
        <v>52.36131849</v>
      </c>
    </row>
    <row r="51">
      <c r="A51" s="4">
        <f>'箱根湯本変換後データ'!A51</f>
        <v>255.608</v>
      </c>
      <c r="B51" s="4">
        <f>'箱根湯本変換後データ'!B51 - 273.15</f>
        <v>52.44837708</v>
      </c>
    </row>
    <row r="52">
      <c r="A52" s="4">
        <f>'箱根湯本変換後データ'!A52</f>
        <v>260.608</v>
      </c>
      <c r="B52" s="4">
        <f>'箱根湯本変換後データ'!B52 - 273.15</f>
        <v>52.53419313</v>
      </c>
    </row>
    <row r="53">
      <c r="A53" s="4">
        <f>'箱根湯本変換後データ'!A53</f>
        <v>265.608</v>
      </c>
      <c r="B53" s="4">
        <f>'箱根湯本変換後データ'!B53 - 273.15</f>
        <v>52.70358893</v>
      </c>
    </row>
    <row r="54">
      <c r="A54" s="4">
        <f>'箱根湯本変換後データ'!A54</f>
        <v>270.608</v>
      </c>
      <c r="B54" s="4">
        <f>'箱根湯本変換後データ'!B54 - 273.15</f>
        <v>53.28159382</v>
      </c>
    </row>
    <row r="55">
      <c r="A55" s="4">
        <f>'箱根湯本変換後データ'!A55</f>
        <v>275.608</v>
      </c>
      <c r="B55" s="4">
        <f>'箱根湯本変換後データ'!B55 - 273.15</f>
        <v>53.80812884</v>
      </c>
    </row>
    <row r="56">
      <c r="A56" s="4">
        <f>'箱根湯本変換後データ'!A56</f>
        <v>280.608</v>
      </c>
      <c r="B56" s="4">
        <f>'箱根湯本変換後データ'!B56 - 273.15</f>
        <v>54.32901655</v>
      </c>
    </row>
    <row r="57">
      <c r="A57" s="4">
        <f>'箱根湯本変換後データ'!A57</f>
        <v>285.608</v>
      </c>
      <c r="B57" s="4">
        <f>'箱根湯本変換後データ'!B57 - 273.15</f>
        <v>54.9276263</v>
      </c>
    </row>
    <row r="58">
      <c r="A58" s="4">
        <f>'箱根湯本変換後データ'!A58</f>
        <v>290.608</v>
      </c>
      <c r="B58" s="4">
        <f>'箱根湯本変換後データ'!B58 - 273.15</f>
        <v>55.41992466</v>
      </c>
    </row>
    <row r="59">
      <c r="A59" s="4">
        <f>'箱根湯本変換後データ'!A59</f>
        <v>295.608</v>
      </c>
      <c r="B59" s="4">
        <f>'箱根湯本変換後データ'!B59 - 273.15</f>
        <v>55.83439336</v>
      </c>
    </row>
    <row r="60">
      <c r="A60" s="4">
        <f>'箱根湯本変換後データ'!A60</f>
        <v>300.608</v>
      </c>
      <c r="B60" s="4">
        <f>'箱根湯本変換後データ'!B60 - 273.15</f>
        <v>57.09984512</v>
      </c>
    </row>
    <row r="61">
      <c r="A61" s="4">
        <f>'箱根湯本変換後データ'!A61</f>
        <v>305.608</v>
      </c>
      <c r="B61" s="4">
        <f>'箱根湯本変換後データ'!B61 - 273.15</f>
        <v>58.42829229</v>
      </c>
    </row>
    <row r="62">
      <c r="A62" s="4">
        <f>'箱根湯本変換後データ'!A62</f>
        <v>310.608</v>
      </c>
      <c r="B62" s="4">
        <f>'箱根湯本変換後データ'!B62 - 273.15</f>
        <v>59.05313795</v>
      </c>
    </row>
    <row r="63">
      <c r="A63" s="4">
        <f>'箱根湯本変換後データ'!A63</f>
        <v>315.608</v>
      </c>
      <c r="B63" s="4">
        <f>'箱根湯本変換後データ'!B63 - 273.15</f>
        <v>59.47855686</v>
      </c>
    </row>
    <row r="64">
      <c r="A64" s="4">
        <f>'箱根湯本変換後データ'!A64</f>
        <v>320.608</v>
      </c>
      <c r="B64" s="4">
        <f>'箱根湯本変換後データ'!B64 - 273.15</f>
        <v>59.83185883</v>
      </c>
    </row>
    <row r="65">
      <c r="A65" s="4">
        <f>'箱根湯本変換後データ'!A65</f>
        <v>325.608</v>
      </c>
      <c r="B65" s="4">
        <f>'箱根湯本変換後データ'!B65 - 273.15</f>
        <v>60.14891131</v>
      </c>
    </row>
    <row r="66">
      <c r="A66" s="4">
        <f>'箱根湯本変換後データ'!A66</f>
        <v>330.608</v>
      </c>
      <c r="B66" s="4">
        <f>'箱根湯本変換後データ'!B66 - 273.15</f>
        <v>60.44489915</v>
      </c>
    </row>
    <row r="67">
      <c r="A67" s="4">
        <f>'箱根湯本変換後データ'!A67</f>
        <v>335.608</v>
      </c>
      <c r="B67" s="4">
        <f>'箱根湯本変換後データ'!B67 - 273.15</f>
        <v>60.70029937</v>
      </c>
    </row>
    <row r="68">
      <c r="A68" s="4">
        <f>'箱根湯本変換後データ'!A68</f>
        <v>340.608</v>
      </c>
      <c r="B68" s="4">
        <f>'箱根湯本変換後データ'!B68 - 273.15</f>
        <v>60.9349616</v>
      </c>
    </row>
    <row r="69">
      <c r="A69" s="4">
        <f>'箱根湯本変換後データ'!A69</f>
        <v>345.608</v>
      </c>
      <c r="B69" s="4">
        <f>'箱根湯本変換後データ'!B69 - 273.15</f>
        <v>61.15044373</v>
      </c>
    </row>
    <row r="70">
      <c r="A70" s="4">
        <f>'箱根湯本変換後データ'!A70</f>
        <v>350.608</v>
      </c>
      <c r="B70" s="4">
        <f>'箱根湯本変換後データ'!B70 - 273.15</f>
        <v>61.34840657</v>
      </c>
    </row>
    <row r="71">
      <c r="A71" s="4">
        <f>'箱根湯本変換後データ'!A71</f>
        <v>355.608</v>
      </c>
      <c r="B71" s="4">
        <f>'箱根湯本変換後データ'!B71 - 273.15</f>
        <v>61.55211852</v>
      </c>
    </row>
    <row r="72">
      <c r="A72" s="4">
        <f>'箱根湯本変換後データ'!A72</f>
        <v>360.578</v>
      </c>
      <c r="B72" s="4">
        <f>'箱根湯本変換後データ'!B72 - 273.15</f>
        <v>61.70536328</v>
      </c>
    </row>
    <row r="73">
      <c r="A73" s="4" t="str">
        <f>'箱根湯本変換後データ'!A73</f>
        <v/>
      </c>
    </row>
    <row r="74">
      <c r="A74" s="4" t="str">
        <f>'箱根湯本変換後データ'!A74</f>
        <v/>
      </c>
    </row>
    <row r="75">
      <c r="A75" s="4" t="str">
        <f>'箱根湯本変換後データ'!A75</f>
        <v/>
      </c>
    </row>
    <row r="76">
      <c r="A76" s="4" t="str">
        <f>'箱根湯本変換後データ'!A76</f>
        <v/>
      </c>
    </row>
    <row r="77">
      <c r="A77" s="4" t="str">
        <f>'箱根湯本変換後データ'!A77</f>
        <v/>
      </c>
    </row>
    <row r="78">
      <c r="A78" s="4" t="str">
        <f>'箱根湯本変換後データ'!A78</f>
        <v/>
      </c>
    </row>
    <row r="79">
      <c r="A79" s="4" t="str">
        <f>'箱根湯本変換後データ'!A79</f>
        <v/>
      </c>
    </row>
    <row r="80">
      <c r="A80" s="4" t="str">
        <f>'箱根湯本変換後データ'!A80</f>
        <v/>
      </c>
    </row>
    <row r="81">
      <c r="A81" s="4" t="str">
        <f>'箱根湯本変換後データ'!A81</f>
        <v/>
      </c>
    </row>
    <row r="82">
      <c r="A82" s="4" t="str">
        <f>'箱根湯本変換後データ'!A82</f>
        <v/>
      </c>
    </row>
    <row r="83">
      <c r="A83" s="4" t="str">
        <f>'箱根湯本変換後データ'!A83</f>
        <v/>
      </c>
    </row>
    <row r="84">
      <c r="A84" s="4" t="str">
        <f>'箱根湯本変換後データ'!A84</f>
        <v/>
      </c>
    </row>
    <row r="85">
      <c r="A85" s="4" t="str">
        <f>'箱根湯本変換後データ'!A85</f>
        <v/>
      </c>
    </row>
    <row r="86">
      <c r="A86" s="4" t="str">
        <f>'箱根湯本変換後データ'!A86</f>
        <v/>
      </c>
    </row>
    <row r="87">
      <c r="A87" s="4" t="str">
        <f>'箱根湯本変換後データ'!A87</f>
        <v/>
      </c>
    </row>
    <row r="88">
      <c r="A88" s="4" t="str">
        <f>'箱根湯本変換後データ'!A88</f>
        <v/>
      </c>
    </row>
    <row r="89">
      <c r="A89" s="4" t="str">
        <f>'箱根湯本変換後データ'!A89</f>
        <v/>
      </c>
    </row>
    <row r="90">
      <c r="A90" s="4" t="str">
        <f>'箱根湯本変換後データ'!A90</f>
        <v/>
      </c>
    </row>
    <row r="91">
      <c r="A91" s="4" t="str">
        <f>'箱根湯本変換後データ'!A91</f>
        <v/>
      </c>
    </row>
    <row r="92">
      <c r="A92" s="4" t="str">
        <f>'箱根湯本変換後データ'!A92</f>
        <v/>
      </c>
    </row>
    <row r="93">
      <c r="A93" s="4" t="str">
        <f>'箱根湯本変換後データ'!A93</f>
        <v/>
      </c>
    </row>
    <row r="94">
      <c r="A94" s="4" t="str">
        <f>'箱根湯本変換後データ'!A94</f>
        <v/>
      </c>
    </row>
    <row r="95">
      <c r="A95" s="4" t="str">
        <f>'箱根湯本変換後データ'!A95</f>
        <v/>
      </c>
    </row>
    <row r="96">
      <c r="A96" s="4" t="str">
        <f>'箱根湯本変換後データ'!A96</f>
        <v/>
      </c>
    </row>
    <row r="97">
      <c r="A97" s="4" t="str">
        <f>'箱根湯本変換後データ'!A97</f>
        <v/>
      </c>
    </row>
    <row r="98">
      <c r="A98" s="4" t="str">
        <f>'箱根湯本変換後データ'!A98</f>
        <v/>
      </c>
    </row>
    <row r="99">
      <c r="A99" s="4" t="str">
        <f>'箱根湯本変換後データ'!A99</f>
        <v/>
      </c>
    </row>
    <row r="100">
      <c r="A100" s="4" t="str">
        <f>'箱根湯本変換後データ'!A100</f>
        <v/>
      </c>
    </row>
    <row r="101">
      <c r="A101" s="4" t="str">
        <f>'箱根湯本変換後データ'!A101</f>
        <v/>
      </c>
    </row>
    <row r="102">
      <c r="A102" s="4" t="str">
        <f>'箱根湯本変換後データ'!A102</f>
        <v/>
      </c>
    </row>
  </sheetData>
  <drawing r:id="rId1"/>
</worksheet>
</file>