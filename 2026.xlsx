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sakiyushiro/Documents/Observation/"/>
    </mc:Choice>
  </mc:AlternateContent>
  <xr:revisionPtr revIDLastSave="0" documentId="13_ncr:1_{450F1772-8E78-F549-BD25-B6F0108A8CFB}" xr6:coauthVersionLast="47" xr6:coauthVersionMax="47" xr10:uidLastSave="{00000000-0000-0000-0000-000000000000}"/>
  <bookViews>
    <workbookView xWindow="6640" yWindow="580" windowWidth="18960" windowHeight="15200" activeTab="1" xr2:uid="{70B38D97-CA14-4606-9AFE-62A39CC402DC}"/>
  </bookViews>
  <sheets>
    <sheet name="河口湖" sheetId="2" r:id="rId1"/>
    <sheet name="函嶺洞門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2" i="2" l="1"/>
  <c r="G22" i="2" s="1"/>
  <c r="F23" i="2"/>
  <c r="G23" i="2" s="1"/>
  <c r="F24" i="2"/>
  <c r="G24" i="2" s="1"/>
  <c r="F25" i="2"/>
  <c r="G25" i="2" s="1"/>
  <c r="F26" i="2"/>
  <c r="G26" i="2" s="1"/>
  <c r="F27" i="2"/>
  <c r="G27" i="2" s="1"/>
  <c r="F28" i="2"/>
  <c r="G28" i="2" s="1"/>
  <c r="F29" i="2"/>
  <c r="G29" i="2" s="1"/>
  <c r="F30" i="2"/>
  <c r="G30" i="2" s="1"/>
  <c r="F31" i="2"/>
  <c r="G31" i="2" s="1"/>
  <c r="F32" i="2"/>
  <c r="G32" i="2" s="1"/>
  <c r="F33" i="2"/>
  <c r="G33" i="2" s="1"/>
  <c r="F34" i="2"/>
  <c r="G34" i="2" s="1"/>
  <c r="F35" i="2"/>
  <c r="G35" i="2" s="1"/>
  <c r="F36" i="2"/>
  <c r="G36" i="2" s="1"/>
  <c r="F37" i="2"/>
  <c r="G37" i="2" s="1"/>
  <c r="F38" i="2"/>
  <c r="G38" i="2" s="1"/>
  <c r="F39" i="2"/>
  <c r="G39" i="2" s="1"/>
  <c r="F40" i="2"/>
  <c r="G40" i="2" s="1"/>
  <c r="F41" i="2"/>
  <c r="G41" i="2" s="1"/>
  <c r="F42" i="2"/>
  <c r="G42" i="2" s="1"/>
  <c r="F43" i="2"/>
  <c r="G43" i="2" s="1"/>
  <c r="F44" i="2"/>
  <c r="G44" i="2" s="1"/>
  <c r="F45" i="2"/>
  <c r="G45" i="2" s="1"/>
  <c r="F46" i="2"/>
  <c r="G46" i="2" s="1"/>
  <c r="F47" i="2"/>
  <c r="G47" i="2" s="1"/>
  <c r="F48" i="2"/>
  <c r="G48" i="2" s="1"/>
  <c r="F49" i="2"/>
  <c r="G49" i="2" s="1"/>
  <c r="F50" i="2"/>
  <c r="G50" i="2" s="1"/>
  <c r="F51" i="2"/>
  <c r="G51" i="2" s="1"/>
  <c r="F52" i="2"/>
  <c r="G52" i="2" s="1"/>
  <c r="F53" i="2"/>
  <c r="G53" i="2" s="1"/>
  <c r="F54" i="2"/>
  <c r="G54" i="2" s="1"/>
  <c r="F55" i="2"/>
  <c r="G55" i="2" s="1"/>
  <c r="F56" i="2"/>
  <c r="G56" i="2" s="1"/>
  <c r="F57" i="2"/>
  <c r="G57" i="2" s="1"/>
  <c r="F58" i="2"/>
  <c r="G58" i="2" s="1"/>
  <c r="F59" i="2"/>
  <c r="G59" i="2" s="1"/>
  <c r="F60" i="2"/>
  <c r="G60" i="2" s="1"/>
  <c r="F61" i="2"/>
  <c r="G61" i="2" s="1"/>
  <c r="F17" i="2"/>
  <c r="F18" i="2"/>
  <c r="F19" i="2"/>
  <c r="F20" i="2"/>
  <c r="F21" i="2"/>
  <c r="F16" i="2"/>
  <c r="G16" i="2" s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17" i="1"/>
  <c r="G17" i="1" s="1"/>
  <c r="F16" i="1"/>
  <c r="G16" i="1" s="1"/>
  <c r="G21" i="2"/>
  <c r="G20" i="2"/>
  <c r="G19" i="2"/>
  <c r="G18" i="2"/>
  <c r="G17" i="2"/>
  <c r="C18" i="2"/>
  <c r="E11" i="2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18" i="1"/>
  <c r="G19" i="1"/>
  <c r="G20" i="1"/>
  <c r="G21" i="1"/>
  <c r="G22" i="1"/>
  <c r="G23" i="1"/>
  <c r="E11" i="1"/>
  <c r="C17" i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</calcChain>
</file>

<file path=xl/sharedStrings.xml><?xml version="1.0" encoding="utf-8"?>
<sst xmlns="http://schemas.openxmlformats.org/spreadsheetml/2006/main" count="31" uniqueCount="17">
  <si>
    <t>銅線抵抗値Ω</t>
    <rPh sb="0" eb="2">
      <t>ドウセン</t>
    </rPh>
    <rPh sb="2" eb="5">
      <t>テイコウチ</t>
    </rPh>
    <phoneticPr fontId="1"/>
  </si>
  <si>
    <t>式： 1/T = a + b(logR) + c(logR)^3</t>
    <rPh sb="0" eb="1">
      <t>シキ</t>
    </rPh>
    <phoneticPr fontId="1"/>
  </si>
  <si>
    <t>係数a</t>
    <rPh sb="0" eb="2">
      <t>ケイスウ</t>
    </rPh>
    <phoneticPr fontId="1"/>
  </si>
  <si>
    <t>係数b</t>
    <rPh sb="0" eb="2">
      <t>ケイスウ</t>
    </rPh>
    <phoneticPr fontId="1"/>
  </si>
  <si>
    <t>係数c</t>
    <rPh sb="0" eb="2">
      <t>ケイスウ</t>
    </rPh>
    <phoneticPr fontId="1"/>
  </si>
  <si>
    <t>LN</t>
    <phoneticPr fontId="1"/>
  </si>
  <si>
    <t>log10</t>
    <phoneticPr fontId="1"/>
  </si>
  <si>
    <t>井戸口とFNDの高さ</t>
    <rPh sb="0" eb="3">
      <t>イドクチ</t>
    </rPh>
    <rPh sb="8" eb="9">
      <t>タカ</t>
    </rPh>
    <phoneticPr fontId="1"/>
  </si>
  <si>
    <t>D</t>
    <phoneticPr fontId="1"/>
  </si>
  <si>
    <t>センサーとメジャー０の距離</t>
    <rPh sb="11" eb="13">
      <t>キョリ</t>
    </rPh>
    <phoneticPr fontId="1"/>
  </si>
  <si>
    <t>L</t>
    <phoneticPr fontId="1"/>
  </si>
  <si>
    <t>補正値</t>
    <rPh sb="0" eb="3">
      <t>ホセイチ</t>
    </rPh>
    <phoneticPr fontId="1"/>
  </si>
  <si>
    <t>L-D</t>
    <phoneticPr fontId="1"/>
  </si>
  <si>
    <t>温度℃</t>
    <rPh sb="0" eb="2">
      <t>オンド</t>
    </rPh>
    <phoneticPr fontId="1"/>
  </si>
  <si>
    <t>測定の抵抗値kΩ</t>
    <rPh sb="0" eb="2">
      <t>ソクテイ</t>
    </rPh>
    <rPh sb="3" eb="6">
      <t>テイコウ</t>
    </rPh>
    <phoneticPr fontId="1"/>
  </si>
  <si>
    <t>深さ</t>
    <rPh sb="0" eb="1">
      <t>フカサ</t>
    </rPh>
    <phoneticPr fontId="1"/>
  </si>
  <si>
    <t>補正済み抵抗値Ω</t>
    <rPh sb="0" eb="3">
      <t>ホセイズミ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</si>
</sst>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E+00"/>
  </numFmts>
  <fonts count="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.5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6" fontId="2" fillId="0" borderId="0" xfId="0" applyNumberFormat="1" applyFont="1">
      <alignment vertical="center"/>
    </xf>
    <xf numFmtId="176" fontId="3" fillId="0" borderId="0" xfId="0" applyNumberFormat="1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河口湖!$C$16:$C$80</c:f>
              <c:numCache>
                <c:formatCode>General</c:formatCode>
                <c:ptCount val="65"/>
                <c:pt idx="0">
                  <c:v>32</c:v>
                </c:pt>
                <c:pt idx="1">
                  <c:v>33</c:v>
                </c:pt>
                <c:pt idx="2">
                  <c:v>34</c:v>
                </c:pt>
                <c:pt idx="3">
                  <c:v>36</c:v>
                </c:pt>
                <c:pt idx="4">
                  <c:v>38</c:v>
                </c:pt>
                <c:pt idx="5">
                  <c:v>40</c:v>
                </c:pt>
                <c:pt idx="6">
                  <c:v>42</c:v>
                </c:pt>
                <c:pt idx="7">
                  <c:v>44</c:v>
                </c:pt>
                <c:pt idx="8">
                  <c:v>46</c:v>
                </c:pt>
                <c:pt idx="9">
                  <c:v>48</c:v>
                </c:pt>
                <c:pt idx="10">
                  <c:v>50</c:v>
                </c:pt>
                <c:pt idx="11">
                  <c:v>52</c:v>
                </c:pt>
                <c:pt idx="12">
                  <c:v>54</c:v>
                </c:pt>
                <c:pt idx="13">
                  <c:v>56</c:v>
                </c:pt>
                <c:pt idx="14">
                  <c:v>58</c:v>
                </c:pt>
                <c:pt idx="15">
                  <c:v>60</c:v>
                </c:pt>
                <c:pt idx="16">
                  <c:v>62</c:v>
                </c:pt>
                <c:pt idx="17">
                  <c:v>64</c:v>
                </c:pt>
                <c:pt idx="18">
                  <c:v>66</c:v>
                </c:pt>
                <c:pt idx="19">
                  <c:v>68</c:v>
                </c:pt>
                <c:pt idx="20">
                  <c:v>70</c:v>
                </c:pt>
                <c:pt idx="21">
                  <c:v>72</c:v>
                </c:pt>
                <c:pt idx="22">
                  <c:v>74</c:v>
                </c:pt>
                <c:pt idx="23">
                  <c:v>76</c:v>
                </c:pt>
                <c:pt idx="24">
                  <c:v>78</c:v>
                </c:pt>
                <c:pt idx="25">
                  <c:v>80</c:v>
                </c:pt>
                <c:pt idx="26">
                  <c:v>82</c:v>
                </c:pt>
                <c:pt idx="27">
                  <c:v>84</c:v>
                </c:pt>
                <c:pt idx="28">
                  <c:v>86</c:v>
                </c:pt>
                <c:pt idx="29">
                  <c:v>88</c:v>
                </c:pt>
                <c:pt idx="30">
                  <c:v>90</c:v>
                </c:pt>
                <c:pt idx="31">
                  <c:v>92</c:v>
                </c:pt>
                <c:pt idx="32">
                  <c:v>94</c:v>
                </c:pt>
                <c:pt idx="33">
                  <c:v>96</c:v>
                </c:pt>
                <c:pt idx="34">
                  <c:v>98</c:v>
                </c:pt>
                <c:pt idx="35">
                  <c:v>100</c:v>
                </c:pt>
                <c:pt idx="36">
                  <c:v>102</c:v>
                </c:pt>
                <c:pt idx="37">
                  <c:v>104</c:v>
                </c:pt>
                <c:pt idx="38">
                  <c:v>106</c:v>
                </c:pt>
                <c:pt idx="39">
                  <c:v>108</c:v>
                </c:pt>
                <c:pt idx="40">
                  <c:v>110</c:v>
                </c:pt>
                <c:pt idx="41">
                  <c:v>112</c:v>
                </c:pt>
                <c:pt idx="42">
                  <c:v>114</c:v>
                </c:pt>
                <c:pt idx="43">
                  <c:v>116</c:v>
                </c:pt>
                <c:pt idx="44">
                  <c:v>118</c:v>
                </c:pt>
                <c:pt idx="45">
                  <c:v>120</c:v>
                </c:pt>
              </c:numCache>
            </c:numRef>
          </c:xVal>
          <c:yVal>
            <c:numRef>
              <c:f>河口湖!$G$16:$G$80</c:f>
              <c:numCache>
                <c:formatCode>General</c:formatCode>
                <c:ptCount val="65"/>
                <c:pt idx="0">
                  <c:v>18.46635554888644</c:v>
                </c:pt>
                <c:pt idx="1">
                  <c:v>14.567145342176104</c:v>
                </c:pt>
                <c:pt idx="2">
                  <c:v>11.055099135763726</c:v>
                </c:pt>
                <c:pt idx="3">
                  <c:v>10.80982713214263</c:v>
                </c:pt>
                <c:pt idx="4">
                  <c:v>10.656383317068276</c:v>
                </c:pt>
                <c:pt idx="5">
                  <c:v>10.615653997955292</c:v>
                </c:pt>
                <c:pt idx="6">
                  <c:v>10.605484028724106</c:v>
                </c:pt>
                <c:pt idx="7">
                  <c:v>10.602942307716319</c:v>
                </c:pt>
                <c:pt idx="8">
                  <c:v>10.605484028724106</c:v>
                </c:pt>
                <c:pt idx="9">
                  <c:v>10.608026058181451</c:v>
                </c:pt>
                <c:pt idx="10">
                  <c:v>10.615653997955292</c:v>
                </c:pt>
                <c:pt idx="11">
                  <c:v>10.628373406478772</c:v>
                </c:pt>
                <c:pt idx="12">
                  <c:v>10.633463332982501</c:v>
                </c:pt>
                <c:pt idx="13">
                  <c:v>10.67932839999736</c:v>
                </c:pt>
                <c:pt idx="14">
                  <c:v>10.704852436432645</c:v>
                </c:pt>
                <c:pt idx="15">
                  <c:v>10.704852436432645</c:v>
                </c:pt>
                <c:pt idx="16">
                  <c:v>10.689534284577405</c:v>
                </c:pt>
                <c:pt idx="17">
                  <c:v>10.638554496387542</c:v>
                </c:pt>
                <c:pt idx="18">
                  <c:v>10.580080687272584</c:v>
                </c:pt>
                <c:pt idx="19">
                  <c:v>10.529366258447453</c:v>
                </c:pt>
                <c:pt idx="20">
                  <c:v>10.476247981533049</c:v>
                </c:pt>
                <c:pt idx="21">
                  <c:v>10.425784161105014</c:v>
                </c:pt>
                <c:pt idx="22">
                  <c:v>10.357850479967567</c:v>
                </c:pt>
                <c:pt idx="23">
                  <c:v>10.302659768265073</c:v>
                </c:pt>
                <c:pt idx="24">
                  <c:v>10.240119360833432</c:v>
                </c:pt>
                <c:pt idx="25">
                  <c:v>10.165317031363543</c:v>
                </c:pt>
                <c:pt idx="26">
                  <c:v>10.075906302314081</c:v>
                </c:pt>
                <c:pt idx="27">
                  <c:v>9.9893446610733463</c:v>
                </c:pt>
                <c:pt idx="28">
                  <c:v>9.9031405036814135</c:v>
                </c:pt>
                <c:pt idx="29">
                  <c:v>9.8221872379727984</c:v>
                </c:pt>
                <c:pt idx="30">
                  <c:v>9.7732771513807961</c:v>
                </c:pt>
                <c:pt idx="31">
                  <c:v>9.7659505243459535</c:v>
                </c:pt>
                <c:pt idx="32">
                  <c:v>9.7683924472712533</c:v>
                </c:pt>
                <c:pt idx="33">
                  <c:v>9.7659505243459535</c:v>
                </c:pt>
                <c:pt idx="34">
                  <c:v>9.7659505243459535</c:v>
                </c:pt>
                <c:pt idx="35">
                  <c:v>9.7659505243459535</c:v>
                </c:pt>
                <c:pt idx="36">
                  <c:v>9.7635088874229723</c:v>
                </c:pt>
                <c:pt idx="37">
                  <c:v>9.7659505243459535</c:v>
                </c:pt>
                <c:pt idx="38">
                  <c:v>9.7659505243459535</c:v>
                </c:pt>
                <c:pt idx="39">
                  <c:v>9.7683924472712533</c:v>
                </c:pt>
                <c:pt idx="40">
                  <c:v>9.7732771513807961</c:v>
                </c:pt>
                <c:pt idx="41">
                  <c:v>9.7659505243459535</c:v>
                </c:pt>
                <c:pt idx="42">
                  <c:v>9.7635088874229723</c:v>
                </c:pt>
                <c:pt idx="43">
                  <c:v>9.7513049906381752</c:v>
                </c:pt>
                <c:pt idx="44">
                  <c:v>9.7513049906381752</c:v>
                </c:pt>
                <c:pt idx="45">
                  <c:v>9.7537451984942436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06-4051-97B7-5B1E9EA153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7534815"/>
        <c:axId val="700538895"/>
      </c:scatterChart>
      <c:valAx>
        <c:axId val="1007534815"/>
        <c:scaling>
          <c:orientation val="minMax"/>
          <c:max val="120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00538895"/>
        <c:crosses val="autoZero"/>
        <c:crossBetween val="midCat"/>
      </c:valAx>
      <c:valAx>
        <c:axId val="700538895"/>
        <c:scaling>
          <c:orientation val="minMax"/>
          <c:max val="11"/>
          <c:min val="9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075348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函嶺洞門!$C$16:$C$80</c:f>
              <c:numCache>
                <c:formatCode>General</c:formatCode>
                <c:ptCount val="65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23</c:v>
                </c:pt>
                <c:pt idx="18">
                  <c:v>24</c:v>
                </c:pt>
                <c:pt idx="19">
                  <c:v>25</c:v>
                </c:pt>
                <c:pt idx="20">
                  <c:v>26</c:v>
                </c:pt>
                <c:pt idx="21">
                  <c:v>27</c:v>
                </c:pt>
                <c:pt idx="22">
                  <c:v>28</c:v>
                </c:pt>
                <c:pt idx="23">
                  <c:v>29</c:v>
                </c:pt>
                <c:pt idx="24">
                  <c:v>30</c:v>
                </c:pt>
                <c:pt idx="25">
                  <c:v>31</c:v>
                </c:pt>
                <c:pt idx="26">
                  <c:v>32</c:v>
                </c:pt>
                <c:pt idx="27">
                  <c:v>33</c:v>
                </c:pt>
                <c:pt idx="28">
                  <c:v>34</c:v>
                </c:pt>
                <c:pt idx="29">
                  <c:v>35</c:v>
                </c:pt>
                <c:pt idx="30">
                  <c:v>36</c:v>
                </c:pt>
                <c:pt idx="31">
                  <c:v>37</c:v>
                </c:pt>
                <c:pt idx="32">
                  <c:v>38</c:v>
                </c:pt>
                <c:pt idx="33">
                  <c:v>39</c:v>
                </c:pt>
                <c:pt idx="34">
                  <c:v>40</c:v>
                </c:pt>
                <c:pt idx="35">
                  <c:v>41</c:v>
                </c:pt>
                <c:pt idx="36">
                  <c:v>42</c:v>
                </c:pt>
                <c:pt idx="37">
                  <c:v>43</c:v>
                </c:pt>
                <c:pt idx="38">
                  <c:v>44</c:v>
                </c:pt>
                <c:pt idx="39">
                  <c:v>45</c:v>
                </c:pt>
                <c:pt idx="40">
                  <c:v>46</c:v>
                </c:pt>
                <c:pt idx="41">
                  <c:v>47</c:v>
                </c:pt>
                <c:pt idx="42">
                  <c:v>48</c:v>
                </c:pt>
                <c:pt idx="43">
                  <c:v>49</c:v>
                </c:pt>
                <c:pt idx="44">
                  <c:v>50</c:v>
                </c:pt>
                <c:pt idx="45">
                  <c:v>51</c:v>
                </c:pt>
                <c:pt idx="46">
                  <c:v>52</c:v>
                </c:pt>
                <c:pt idx="47">
                  <c:v>53</c:v>
                </c:pt>
                <c:pt idx="48">
                  <c:v>54</c:v>
                </c:pt>
                <c:pt idx="49">
                  <c:v>55</c:v>
                </c:pt>
                <c:pt idx="50">
                  <c:v>56</c:v>
                </c:pt>
                <c:pt idx="51">
                  <c:v>57</c:v>
                </c:pt>
                <c:pt idx="52">
                  <c:v>58</c:v>
                </c:pt>
                <c:pt idx="53">
                  <c:v>59</c:v>
                </c:pt>
                <c:pt idx="54">
                  <c:v>60</c:v>
                </c:pt>
                <c:pt idx="55">
                  <c:v>61</c:v>
                </c:pt>
                <c:pt idx="56">
                  <c:v>62</c:v>
                </c:pt>
                <c:pt idx="57">
                  <c:v>63</c:v>
                </c:pt>
                <c:pt idx="58">
                  <c:v>64</c:v>
                </c:pt>
                <c:pt idx="59">
                  <c:v>65</c:v>
                </c:pt>
                <c:pt idx="60">
                  <c:v>66</c:v>
                </c:pt>
                <c:pt idx="61">
                  <c:v>67</c:v>
                </c:pt>
                <c:pt idx="62">
                  <c:v>68</c:v>
                </c:pt>
                <c:pt idx="63">
                  <c:v>69</c:v>
                </c:pt>
                <c:pt idx="64">
                  <c:v>70</c:v>
                </c:pt>
              </c:numCache>
            </c:numRef>
          </c:xVal>
          <c:yVal>
            <c:numRef>
              <c:f>函嶺洞門!$D$16:$D$80</c:f>
              <c:numCache>
                <c:formatCode>General</c:formatCode>
                <c:ptCount val="65"/>
                <c:pt idx="0">
                  <c:v>6.3159999999999998</c:v>
                </c:pt>
                <c:pt idx="1">
                  <c:v>6.3019999999999996</c:v>
                </c:pt>
                <c:pt idx="2">
                  <c:v>6.282</c:v>
                </c:pt>
                <c:pt idx="3">
                  <c:v>6.2430000000000003</c:v>
                </c:pt>
                <c:pt idx="4">
                  <c:v>6.2039999999999997</c:v>
                </c:pt>
                <c:pt idx="5">
                  <c:v>6.1580000000000004</c:v>
                </c:pt>
                <c:pt idx="6">
                  <c:v>6.0960000000000001</c:v>
                </c:pt>
                <c:pt idx="7">
                  <c:v>6.0339999999999998</c:v>
                </c:pt>
                <c:pt idx="8">
                  <c:v>5.9470000000000001</c:v>
                </c:pt>
                <c:pt idx="9">
                  <c:v>5.88</c:v>
                </c:pt>
                <c:pt idx="10">
                  <c:v>5.8109999999999999</c:v>
                </c:pt>
                <c:pt idx="11">
                  <c:v>5.7460000000000004</c:v>
                </c:pt>
                <c:pt idx="12">
                  <c:v>5.665</c:v>
                </c:pt>
                <c:pt idx="13">
                  <c:v>5.585</c:v>
                </c:pt>
                <c:pt idx="14">
                  <c:v>5.5179999999999998</c:v>
                </c:pt>
                <c:pt idx="15">
                  <c:v>5.4809999999999999</c:v>
                </c:pt>
                <c:pt idx="16">
                  <c:v>5.3789999999999996</c:v>
                </c:pt>
                <c:pt idx="17">
                  <c:v>5.3109999999999999</c:v>
                </c:pt>
                <c:pt idx="18">
                  <c:v>5.2510000000000003</c:v>
                </c:pt>
                <c:pt idx="19">
                  <c:v>5.181</c:v>
                </c:pt>
                <c:pt idx="20">
                  <c:v>5.1070000000000002</c:v>
                </c:pt>
                <c:pt idx="21">
                  <c:v>5.03</c:v>
                </c:pt>
                <c:pt idx="22">
                  <c:v>4.968</c:v>
                </c:pt>
                <c:pt idx="23">
                  <c:v>4.9039999999999999</c:v>
                </c:pt>
                <c:pt idx="24">
                  <c:v>4.8289999999999997</c:v>
                </c:pt>
                <c:pt idx="25">
                  <c:v>4.7759999999999998</c:v>
                </c:pt>
                <c:pt idx="26">
                  <c:v>4.7089999999999996</c:v>
                </c:pt>
                <c:pt idx="27">
                  <c:v>4.641</c:v>
                </c:pt>
                <c:pt idx="28">
                  <c:v>4.5640000000000001</c:v>
                </c:pt>
                <c:pt idx="29">
                  <c:v>4.4950000000000001</c:v>
                </c:pt>
                <c:pt idx="30">
                  <c:v>4.431</c:v>
                </c:pt>
                <c:pt idx="31">
                  <c:v>4.383</c:v>
                </c:pt>
                <c:pt idx="32">
                  <c:v>4.3390000000000004</c:v>
                </c:pt>
                <c:pt idx="33">
                  <c:v>4.2960000000000003</c:v>
                </c:pt>
                <c:pt idx="34">
                  <c:v>4.2480000000000002</c:v>
                </c:pt>
                <c:pt idx="35">
                  <c:v>4.1859999999999999</c:v>
                </c:pt>
                <c:pt idx="36">
                  <c:v>4.1230000000000002</c:v>
                </c:pt>
                <c:pt idx="37">
                  <c:v>4.0549999999999997</c:v>
                </c:pt>
                <c:pt idx="38">
                  <c:v>3.9969999999999999</c:v>
                </c:pt>
                <c:pt idx="39">
                  <c:v>3.9329999999999998</c:v>
                </c:pt>
                <c:pt idx="40">
                  <c:v>3.8820000000000001</c:v>
                </c:pt>
                <c:pt idx="41">
                  <c:v>3.8239999999999998</c:v>
                </c:pt>
                <c:pt idx="42">
                  <c:v>3.7759999999999998</c:v>
                </c:pt>
                <c:pt idx="43">
                  <c:v>3.7229999999999999</c:v>
                </c:pt>
                <c:pt idx="44">
                  <c:v>3.6789999999999998</c:v>
                </c:pt>
                <c:pt idx="45">
                  <c:v>3.633</c:v>
                </c:pt>
                <c:pt idx="46">
                  <c:v>3.5710000000000002</c:v>
                </c:pt>
                <c:pt idx="47">
                  <c:v>3.5249999999999999</c:v>
                </c:pt>
                <c:pt idx="48">
                  <c:v>3.49</c:v>
                </c:pt>
                <c:pt idx="49">
                  <c:v>3.4510000000000001</c:v>
                </c:pt>
                <c:pt idx="50">
                  <c:v>3.403</c:v>
                </c:pt>
                <c:pt idx="51">
                  <c:v>3.36</c:v>
                </c:pt>
                <c:pt idx="52">
                  <c:v>3.3050000000000002</c:v>
                </c:pt>
                <c:pt idx="53">
                  <c:v>3.3</c:v>
                </c:pt>
                <c:pt idx="54">
                  <c:v>3.2909999999999999</c:v>
                </c:pt>
                <c:pt idx="55">
                  <c:v>3.2810000000000001</c:v>
                </c:pt>
                <c:pt idx="56">
                  <c:v>3.2730000000000001</c:v>
                </c:pt>
                <c:pt idx="57">
                  <c:v>3.2639999999999998</c:v>
                </c:pt>
                <c:pt idx="58">
                  <c:v>3.254</c:v>
                </c:pt>
                <c:pt idx="59">
                  <c:v>3.2429999999999999</c:v>
                </c:pt>
                <c:pt idx="60">
                  <c:v>3.23</c:v>
                </c:pt>
                <c:pt idx="61">
                  <c:v>3.2189999999999999</c:v>
                </c:pt>
                <c:pt idx="62">
                  <c:v>3.2069999999999999</c:v>
                </c:pt>
                <c:pt idx="63">
                  <c:v>3.1970000000000001</c:v>
                </c:pt>
                <c:pt idx="64">
                  <c:v>3.1840000000000002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05-44AF-AA4D-CC73A97163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1008063"/>
        <c:axId val="700549455"/>
      </c:scatterChart>
      <c:valAx>
        <c:axId val="481008063"/>
        <c:scaling>
          <c:orientation val="minMax"/>
          <c:max val="7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00549455"/>
        <c:crosses val="autoZero"/>
        <c:crossBetween val="midCat"/>
      </c:valAx>
      <c:valAx>
        <c:axId val="700549455"/>
        <c:scaling>
          <c:orientation val="minMax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81008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函嶺洞門!$C$16:$C$80</c:f>
              <c:numCache>
                <c:formatCode>General</c:formatCode>
                <c:ptCount val="65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23</c:v>
                </c:pt>
                <c:pt idx="18">
                  <c:v>24</c:v>
                </c:pt>
                <c:pt idx="19">
                  <c:v>25</c:v>
                </c:pt>
                <c:pt idx="20">
                  <c:v>26</c:v>
                </c:pt>
                <c:pt idx="21">
                  <c:v>27</c:v>
                </c:pt>
                <c:pt idx="22">
                  <c:v>28</c:v>
                </c:pt>
                <c:pt idx="23">
                  <c:v>29</c:v>
                </c:pt>
                <c:pt idx="24">
                  <c:v>30</c:v>
                </c:pt>
                <c:pt idx="25">
                  <c:v>31</c:v>
                </c:pt>
                <c:pt idx="26">
                  <c:v>32</c:v>
                </c:pt>
                <c:pt idx="27">
                  <c:v>33</c:v>
                </c:pt>
                <c:pt idx="28">
                  <c:v>34</c:v>
                </c:pt>
                <c:pt idx="29">
                  <c:v>35</c:v>
                </c:pt>
                <c:pt idx="30">
                  <c:v>36</c:v>
                </c:pt>
                <c:pt idx="31">
                  <c:v>37</c:v>
                </c:pt>
                <c:pt idx="32">
                  <c:v>38</c:v>
                </c:pt>
                <c:pt idx="33">
                  <c:v>39</c:v>
                </c:pt>
                <c:pt idx="34">
                  <c:v>40</c:v>
                </c:pt>
                <c:pt idx="35">
                  <c:v>41</c:v>
                </c:pt>
                <c:pt idx="36">
                  <c:v>42</c:v>
                </c:pt>
                <c:pt idx="37">
                  <c:v>43</c:v>
                </c:pt>
                <c:pt idx="38">
                  <c:v>44</c:v>
                </c:pt>
                <c:pt idx="39">
                  <c:v>45</c:v>
                </c:pt>
                <c:pt idx="40">
                  <c:v>46</c:v>
                </c:pt>
                <c:pt idx="41">
                  <c:v>47</c:v>
                </c:pt>
                <c:pt idx="42">
                  <c:v>48</c:v>
                </c:pt>
                <c:pt idx="43">
                  <c:v>49</c:v>
                </c:pt>
                <c:pt idx="44">
                  <c:v>50</c:v>
                </c:pt>
                <c:pt idx="45">
                  <c:v>51</c:v>
                </c:pt>
                <c:pt idx="46">
                  <c:v>52</c:v>
                </c:pt>
                <c:pt idx="47">
                  <c:v>53</c:v>
                </c:pt>
                <c:pt idx="48">
                  <c:v>54</c:v>
                </c:pt>
                <c:pt idx="49">
                  <c:v>55</c:v>
                </c:pt>
                <c:pt idx="50">
                  <c:v>56</c:v>
                </c:pt>
                <c:pt idx="51">
                  <c:v>57</c:v>
                </c:pt>
                <c:pt idx="52">
                  <c:v>58</c:v>
                </c:pt>
                <c:pt idx="53">
                  <c:v>59</c:v>
                </c:pt>
                <c:pt idx="54">
                  <c:v>60</c:v>
                </c:pt>
                <c:pt idx="55">
                  <c:v>61</c:v>
                </c:pt>
                <c:pt idx="56">
                  <c:v>62</c:v>
                </c:pt>
                <c:pt idx="57">
                  <c:v>63</c:v>
                </c:pt>
                <c:pt idx="58">
                  <c:v>64</c:v>
                </c:pt>
                <c:pt idx="59">
                  <c:v>65</c:v>
                </c:pt>
                <c:pt idx="60">
                  <c:v>66</c:v>
                </c:pt>
                <c:pt idx="61">
                  <c:v>67</c:v>
                </c:pt>
                <c:pt idx="62">
                  <c:v>68</c:v>
                </c:pt>
                <c:pt idx="63">
                  <c:v>69</c:v>
                </c:pt>
                <c:pt idx="64">
                  <c:v>70</c:v>
                </c:pt>
              </c:numCache>
            </c:numRef>
          </c:xVal>
          <c:yVal>
            <c:numRef>
              <c:f>函嶺洞門!$G$16:$G$80</c:f>
              <c:numCache>
                <c:formatCode>General</c:formatCode>
                <c:ptCount val="65"/>
                <c:pt idx="0">
                  <c:v>20.867656340315648</c:v>
                </c:pt>
                <c:pt idx="1">
                  <c:v>20.925010069253801</c:v>
                </c:pt>
                <c:pt idx="2">
                  <c:v>21.007201878021874</c:v>
                </c:pt>
                <c:pt idx="3">
                  <c:v>21.16835605053501</c:v>
                </c:pt>
                <c:pt idx="4">
                  <c:v>21.330687168545921</c:v>
                </c:pt>
                <c:pt idx="5">
                  <c:v>21.523689554049668</c:v>
                </c:pt>
                <c:pt idx="6">
                  <c:v>21.786497833566955</c:v>
                </c:pt>
                <c:pt idx="7">
                  <c:v>22.052439807872474</c:v>
                </c:pt>
                <c:pt idx="8">
                  <c:v>22.431036287074903</c:v>
                </c:pt>
                <c:pt idx="9">
                  <c:v>22.727028054549805</c:v>
                </c:pt>
                <c:pt idx="10">
                  <c:v>23.035995645919456</c:v>
                </c:pt>
                <c:pt idx="11">
                  <c:v>23.330992573748006</c:v>
                </c:pt>
                <c:pt idx="12">
                  <c:v>23.704101754223984</c:v>
                </c:pt>
                <c:pt idx="13">
                  <c:v>24.078768123748148</c:v>
                </c:pt>
                <c:pt idx="14">
                  <c:v>24.397405679310111</c:v>
                </c:pt>
                <c:pt idx="15">
                  <c:v>24.575312655063101</c:v>
                </c:pt>
                <c:pt idx="16">
                  <c:v>25.073116892577673</c:v>
                </c:pt>
                <c:pt idx="17">
                  <c:v>25.411155580318734</c:v>
                </c:pt>
                <c:pt idx="18">
                  <c:v>25.713654073608154</c:v>
                </c:pt>
                <c:pt idx="19">
                  <c:v>26.071719249106593</c:v>
                </c:pt>
                <c:pt idx="20">
                  <c:v>26.456451368474916</c:v>
                </c:pt>
                <c:pt idx="21">
                  <c:v>26.863768624695297</c:v>
                </c:pt>
                <c:pt idx="22">
                  <c:v>27.19707937949363</c:v>
                </c:pt>
                <c:pt idx="23">
                  <c:v>27.546290342785937</c:v>
                </c:pt>
                <c:pt idx="24">
                  <c:v>27.96237911946082</c:v>
                </c:pt>
                <c:pt idx="25">
                  <c:v>28.261008106947429</c:v>
                </c:pt>
                <c:pt idx="26">
                  <c:v>28.644127664634198</c:v>
                </c:pt>
                <c:pt idx="27">
                  <c:v>29.039556877815357</c:v>
                </c:pt>
                <c:pt idx="28">
                  <c:v>29.49561018510235</c:v>
                </c:pt>
                <c:pt idx="29">
                  <c:v>29.912018654357894</c:v>
                </c:pt>
                <c:pt idx="30">
                  <c:v>30.305016029336798</c:v>
                </c:pt>
                <c:pt idx="31">
                  <c:v>30.604164415096022</c:v>
                </c:pt>
                <c:pt idx="32">
                  <c:v>30.881784135162434</c:v>
                </c:pt>
                <c:pt idx="33">
                  <c:v>31.156308967039479</c:v>
                </c:pt>
                <c:pt idx="34">
                  <c:v>31.466595901134326</c:v>
                </c:pt>
                <c:pt idx="35">
                  <c:v>31.873539833507778</c:v>
                </c:pt>
                <c:pt idx="36">
                  <c:v>32.294374197399463</c:v>
                </c:pt>
                <c:pt idx="37">
                  <c:v>32.757183964105764</c:v>
                </c:pt>
                <c:pt idx="38">
                  <c:v>33.159211952549526</c:v>
                </c:pt>
                <c:pt idx="39">
                  <c:v>33.610879938983032</c:v>
                </c:pt>
                <c:pt idx="40">
                  <c:v>33.977047367064756</c:v>
                </c:pt>
                <c:pt idx="41">
                  <c:v>34.400426846641039</c:v>
                </c:pt>
                <c:pt idx="42">
                  <c:v>34.756576630005839</c:v>
                </c:pt>
                <c:pt idx="43">
                  <c:v>35.156082151435157</c:v>
                </c:pt>
                <c:pt idx="44">
                  <c:v>35.492879762978873</c:v>
                </c:pt>
                <c:pt idx="45">
                  <c:v>35.850108696140978</c:v>
                </c:pt>
                <c:pt idx="46">
                  <c:v>36.340134306211041</c:v>
                </c:pt>
                <c:pt idx="47">
                  <c:v>36.710243093211716</c:v>
                </c:pt>
                <c:pt idx="48">
                  <c:v>36.995692696106744</c:v>
                </c:pt>
                <c:pt idx="49">
                  <c:v>37.317779317594159</c:v>
                </c:pt>
                <c:pt idx="50">
                  <c:v>37.720154997826739</c:v>
                </c:pt>
                <c:pt idx="51">
                  <c:v>38.086361165116159</c:v>
                </c:pt>
                <c:pt idx="52">
                  <c:v>38.562933940329344</c:v>
                </c:pt>
                <c:pt idx="53">
                  <c:v>38.606723889383716</c:v>
                </c:pt>
                <c:pt idx="54">
                  <c:v>38.685744181199993</c:v>
                </c:pt>
                <c:pt idx="55">
                  <c:v>38.773845270032666</c:v>
                </c:pt>
                <c:pt idx="56">
                  <c:v>38.844555476769301</c:v>
                </c:pt>
                <c:pt idx="57">
                  <c:v>38.924349616174254</c:v>
                </c:pt>
                <c:pt idx="58">
                  <c:v>39.01331607864222</c:v>
                </c:pt>
                <c:pt idx="59">
                  <c:v>39.111554135435142</c:v>
                </c:pt>
                <c:pt idx="60">
                  <c:v>39.228164014419747</c:v>
                </c:pt>
                <c:pt idx="61">
                  <c:v>39.327269218253207</c:v>
                </c:pt>
                <c:pt idx="62">
                  <c:v>39.435842849637652</c:v>
                </c:pt>
                <c:pt idx="63">
                  <c:v>39.526689423872426</c:v>
                </c:pt>
                <c:pt idx="64">
                  <c:v>39.645294925482517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79-46BF-BEB3-CEF234718C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7534815"/>
        <c:axId val="700538895"/>
      </c:scatterChart>
      <c:valAx>
        <c:axId val="1007534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00538895"/>
        <c:crosses val="autoZero"/>
        <c:crossBetween val="midCat"/>
      </c:valAx>
      <c:valAx>
        <c:axId val="700538895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075348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123824</xdr:colOff>
      <xdr:row>12</xdr:row>
      <xdr:rowOff>95249</xdr:rowOff>
    </xdr:from>
    <xdr:to>
      <xdr:col>19</xdr:col>
      <xdr:colOff>638175</xdr:colOff>
      <xdr:row>33</xdr:row>
      <xdr:rowOff>161925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2D25E7AD-125B-47F1-A53E-09B787ACCB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333375</xdr:colOff>
      <xdr:row>56</xdr:row>
      <xdr:rowOff>104775</xdr:rowOff>
    </xdr:from>
    <xdr:to>
      <xdr:col>19</xdr:col>
      <xdr:colOff>600075</xdr:colOff>
      <xdr:row>79</xdr:row>
      <xdr:rowOff>76199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ADA1FE21-7778-DED5-87E2-4D912E7284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638175</xdr:colOff>
      <xdr:row>15</xdr:row>
      <xdr:rowOff>123824</xdr:rowOff>
    </xdr:from>
    <xdr:to>
      <xdr:col>16</xdr:col>
      <xdr:colOff>676275</xdr:colOff>
      <xdr:row>33</xdr:row>
      <xdr:rowOff>152399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A1535036-8B9E-B5EB-9ADD-1BC9045C2F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95E2C-3020-4A22-970D-E98A7A2D6131}">
  <dimension ref="C2:G61"/>
  <sheetViews>
    <sheetView workbookViewId="0">
      <selection activeCell="C10" sqref="C10"/>
    </sheetView>
  </sheetViews>
  <sheetFormatPr baseColWidth="10" defaultColWidth="8.83203125" defaultRowHeight="18"/>
  <cols>
    <col min="5" max="5" width="10.5" customWidth="1"/>
  </cols>
  <sheetData>
    <row r="2" spans="3:7">
      <c r="C2" t="s">
        <v>0</v>
      </c>
      <c r="E2">
        <v>60</v>
      </c>
    </row>
    <row r="3" spans="3:7">
      <c r="C3" t="s">
        <v>1</v>
      </c>
    </row>
    <row r="4" spans="3:7">
      <c r="C4" t="s">
        <v>2</v>
      </c>
      <c r="E4" s="1">
        <v>9.6865999999999999E-4</v>
      </c>
      <c r="F4" s="1"/>
      <c r="G4">
        <v>2.8565700000000001E-3</v>
      </c>
    </row>
    <row r="5" spans="3:7">
      <c r="C5" t="s">
        <v>3</v>
      </c>
      <c r="E5" s="1">
        <v>2.6937E-4</v>
      </c>
      <c r="F5" s="1"/>
      <c r="G5">
        <v>2.90179E-4</v>
      </c>
    </row>
    <row r="6" spans="3:7">
      <c r="C6" t="s">
        <v>4</v>
      </c>
      <c r="E6" s="2">
        <v>1.1656000000000001E-7</v>
      </c>
      <c r="F6" s="2"/>
      <c r="G6">
        <v>5.6804000000000005E-7</v>
      </c>
    </row>
    <row r="7" spans="3:7">
      <c r="E7" t="s">
        <v>5</v>
      </c>
      <c r="G7" t="s">
        <v>6</v>
      </c>
    </row>
    <row r="9" spans="3:7">
      <c r="C9" t="s">
        <v>7</v>
      </c>
      <c r="D9" t="s">
        <v>8</v>
      </c>
      <c r="E9">
        <v>1</v>
      </c>
    </row>
    <row r="10" spans="3:7">
      <c r="C10" t="s">
        <v>9</v>
      </c>
      <c r="D10" t="s">
        <v>10</v>
      </c>
      <c r="E10">
        <v>1.5</v>
      </c>
    </row>
    <row r="11" spans="3:7">
      <c r="C11" t="s">
        <v>11</v>
      </c>
      <c r="D11" t="s">
        <v>12</v>
      </c>
      <c r="E11">
        <f>E10-E9</f>
        <v>0.5</v>
      </c>
    </row>
    <row r="15" spans="3:7">
      <c r="G15" t="s">
        <v>13</v>
      </c>
    </row>
    <row r="16" spans="3:7">
      <c r="C16">
        <v>32</v>
      </c>
      <c r="D16">
        <v>6.9359999999999999</v>
      </c>
      <c r="F16">
        <f>D16*1000-$E$2</f>
        <v>6876</v>
      </c>
      <c r="G16">
        <f>1/($E$4+$E$5*LN(F16)+$E$6*LN(F16)^3)-273.15</f>
        <v>18.46635554888644</v>
      </c>
    </row>
    <row r="17" spans="3:7">
      <c r="C17">
        <v>33</v>
      </c>
      <c r="D17">
        <v>8.1</v>
      </c>
      <c r="F17">
        <f t="shared" ref="F17:F61" si="0">D17*1000-$E$2</f>
        <v>8040</v>
      </c>
      <c r="G17">
        <f t="shared" ref="G17:G61" si="1">1/($E$4+$E$5*LN(F17)+$E$6*LN(F17)^3)-273.15</f>
        <v>14.567145342176104</v>
      </c>
    </row>
    <row r="18" spans="3:7">
      <c r="C18">
        <f t="shared" ref="C18" si="2">C17+1</f>
        <v>34</v>
      </c>
      <c r="D18">
        <v>9.3460000000000001</v>
      </c>
      <c r="F18">
        <f t="shared" si="0"/>
        <v>9286</v>
      </c>
      <c r="G18">
        <f t="shared" si="1"/>
        <v>11.055099135763726</v>
      </c>
    </row>
    <row r="19" spans="3:7">
      <c r="C19">
        <v>36</v>
      </c>
      <c r="D19">
        <v>9.4410000000000007</v>
      </c>
      <c r="F19">
        <f t="shared" si="0"/>
        <v>9381</v>
      </c>
      <c r="G19">
        <f t="shared" si="1"/>
        <v>10.80982713214263</v>
      </c>
    </row>
    <row r="20" spans="3:7">
      <c r="C20">
        <v>38</v>
      </c>
      <c r="D20">
        <v>9.5009999999999994</v>
      </c>
      <c r="F20">
        <f t="shared" si="0"/>
        <v>9441</v>
      </c>
      <c r="G20">
        <f t="shared" si="1"/>
        <v>10.656383317068276</v>
      </c>
    </row>
    <row r="21" spans="3:7">
      <c r="C21">
        <v>40</v>
      </c>
      <c r="D21">
        <v>9.5169999999999995</v>
      </c>
      <c r="F21">
        <f t="shared" si="0"/>
        <v>9457</v>
      </c>
      <c r="G21">
        <f t="shared" si="1"/>
        <v>10.615653997955292</v>
      </c>
    </row>
    <row r="22" spans="3:7">
      <c r="C22">
        <v>42</v>
      </c>
      <c r="D22">
        <v>9.5210000000000008</v>
      </c>
      <c r="F22">
        <f t="shared" si="0"/>
        <v>9461</v>
      </c>
      <c r="G22">
        <f t="shared" si="1"/>
        <v>10.605484028724106</v>
      </c>
    </row>
    <row r="23" spans="3:7">
      <c r="C23">
        <v>44</v>
      </c>
      <c r="D23">
        <v>9.5220000000000002</v>
      </c>
      <c r="F23">
        <f t="shared" si="0"/>
        <v>9462</v>
      </c>
      <c r="G23">
        <f t="shared" si="1"/>
        <v>10.602942307716319</v>
      </c>
    </row>
    <row r="24" spans="3:7">
      <c r="C24">
        <v>46</v>
      </c>
      <c r="D24">
        <v>9.5210000000000008</v>
      </c>
      <c r="F24">
        <f t="shared" si="0"/>
        <v>9461</v>
      </c>
      <c r="G24">
        <f t="shared" si="1"/>
        <v>10.605484028724106</v>
      </c>
    </row>
    <row r="25" spans="3:7">
      <c r="C25">
        <v>48</v>
      </c>
      <c r="D25">
        <v>9.52</v>
      </c>
      <c r="F25">
        <f t="shared" si="0"/>
        <v>9460</v>
      </c>
      <c r="G25">
        <f t="shared" si="1"/>
        <v>10.608026058181451</v>
      </c>
    </row>
    <row r="26" spans="3:7">
      <c r="C26">
        <v>50</v>
      </c>
      <c r="D26">
        <v>9.5169999999999995</v>
      </c>
      <c r="F26">
        <f t="shared" si="0"/>
        <v>9457</v>
      </c>
      <c r="G26">
        <f t="shared" si="1"/>
        <v>10.615653997955292</v>
      </c>
    </row>
    <row r="27" spans="3:7">
      <c r="C27">
        <v>52</v>
      </c>
      <c r="D27">
        <v>9.5120000000000005</v>
      </c>
      <c r="F27">
        <f t="shared" si="0"/>
        <v>9452</v>
      </c>
      <c r="G27">
        <f t="shared" si="1"/>
        <v>10.628373406478772</v>
      </c>
    </row>
    <row r="28" spans="3:7">
      <c r="C28">
        <v>54</v>
      </c>
      <c r="D28">
        <v>9.51</v>
      </c>
      <c r="F28">
        <f t="shared" si="0"/>
        <v>9450</v>
      </c>
      <c r="G28">
        <f t="shared" si="1"/>
        <v>10.633463332982501</v>
      </c>
    </row>
    <row r="29" spans="3:7">
      <c r="C29">
        <v>56</v>
      </c>
      <c r="D29">
        <v>9.4920000000000009</v>
      </c>
      <c r="F29">
        <f t="shared" si="0"/>
        <v>9432</v>
      </c>
      <c r="G29">
        <f t="shared" si="1"/>
        <v>10.67932839999736</v>
      </c>
    </row>
    <row r="30" spans="3:7">
      <c r="C30">
        <v>58</v>
      </c>
      <c r="D30">
        <v>9.4819999999999993</v>
      </c>
      <c r="F30">
        <f t="shared" si="0"/>
        <v>9422</v>
      </c>
      <c r="G30">
        <f t="shared" si="1"/>
        <v>10.704852436432645</v>
      </c>
    </row>
    <row r="31" spans="3:7">
      <c r="C31">
        <v>60</v>
      </c>
      <c r="D31">
        <v>9.4819999999999993</v>
      </c>
      <c r="F31">
        <f t="shared" si="0"/>
        <v>9422</v>
      </c>
      <c r="G31">
        <f t="shared" si="1"/>
        <v>10.704852436432645</v>
      </c>
    </row>
    <row r="32" spans="3:7">
      <c r="C32">
        <v>62</v>
      </c>
      <c r="D32">
        <v>9.4879999999999995</v>
      </c>
      <c r="F32">
        <f t="shared" si="0"/>
        <v>9428</v>
      </c>
      <c r="G32">
        <f t="shared" si="1"/>
        <v>10.689534284577405</v>
      </c>
    </row>
    <row r="33" spans="3:7">
      <c r="C33">
        <v>64</v>
      </c>
      <c r="D33">
        <v>9.5079999999999991</v>
      </c>
      <c r="F33">
        <f t="shared" si="0"/>
        <v>9448</v>
      </c>
      <c r="G33">
        <f t="shared" si="1"/>
        <v>10.638554496387542</v>
      </c>
    </row>
    <row r="34" spans="3:7">
      <c r="C34">
        <v>66</v>
      </c>
      <c r="D34">
        <v>9.5310000000000006</v>
      </c>
      <c r="F34">
        <f t="shared" si="0"/>
        <v>9471</v>
      </c>
      <c r="G34">
        <f t="shared" si="1"/>
        <v>10.580080687272584</v>
      </c>
    </row>
    <row r="35" spans="3:7">
      <c r="C35">
        <v>68</v>
      </c>
      <c r="D35">
        <v>9.5510000000000002</v>
      </c>
      <c r="F35">
        <f t="shared" si="0"/>
        <v>9491</v>
      </c>
      <c r="G35">
        <f t="shared" si="1"/>
        <v>10.529366258447453</v>
      </c>
    </row>
    <row r="36" spans="3:7">
      <c r="C36">
        <v>70</v>
      </c>
      <c r="D36">
        <v>9.5719999999999992</v>
      </c>
      <c r="F36">
        <f t="shared" si="0"/>
        <v>9512</v>
      </c>
      <c r="G36">
        <f t="shared" si="1"/>
        <v>10.476247981533049</v>
      </c>
    </row>
    <row r="37" spans="3:7">
      <c r="C37">
        <v>72</v>
      </c>
      <c r="D37">
        <v>9.5920000000000005</v>
      </c>
      <c r="F37">
        <f t="shared" si="0"/>
        <v>9532</v>
      </c>
      <c r="G37">
        <f t="shared" si="1"/>
        <v>10.425784161105014</v>
      </c>
    </row>
    <row r="38" spans="3:7">
      <c r="C38">
        <v>74</v>
      </c>
      <c r="D38">
        <v>9.6189999999999998</v>
      </c>
      <c r="F38">
        <f t="shared" si="0"/>
        <v>9559</v>
      </c>
      <c r="G38">
        <f t="shared" si="1"/>
        <v>10.357850479967567</v>
      </c>
    </row>
    <row r="39" spans="3:7">
      <c r="C39">
        <v>76</v>
      </c>
      <c r="D39">
        <v>9.641</v>
      </c>
      <c r="F39">
        <f t="shared" si="0"/>
        <v>9581</v>
      </c>
      <c r="G39">
        <f t="shared" si="1"/>
        <v>10.302659768265073</v>
      </c>
    </row>
    <row r="40" spans="3:7">
      <c r="C40">
        <v>78</v>
      </c>
      <c r="D40">
        <v>9.6660000000000004</v>
      </c>
      <c r="F40">
        <f t="shared" si="0"/>
        <v>9606</v>
      </c>
      <c r="G40">
        <f t="shared" si="1"/>
        <v>10.240119360833432</v>
      </c>
    </row>
    <row r="41" spans="3:7">
      <c r="C41">
        <v>80</v>
      </c>
      <c r="D41">
        <v>9.6959999999999997</v>
      </c>
      <c r="F41">
        <f t="shared" si="0"/>
        <v>9636</v>
      </c>
      <c r="G41">
        <f t="shared" si="1"/>
        <v>10.165317031363543</v>
      </c>
    </row>
    <row r="42" spans="3:7">
      <c r="C42">
        <v>82</v>
      </c>
      <c r="D42">
        <v>9.7319999999999993</v>
      </c>
      <c r="F42">
        <f t="shared" si="0"/>
        <v>9672</v>
      </c>
      <c r="G42">
        <f t="shared" si="1"/>
        <v>10.075906302314081</v>
      </c>
    </row>
    <row r="43" spans="3:7">
      <c r="C43">
        <v>84</v>
      </c>
      <c r="D43">
        <v>9.7669999999999995</v>
      </c>
      <c r="F43">
        <f t="shared" si="0"/>
        <v>9707</v>
      </c>
      <c r="G43">
        <f t="shared" si="1"/>
        <v>9.9893446610733463</v>
      </c>
    </row>
    <row r="44" spans="3:7">
      <c r="C44">
        <v>86</v>
      </c>
      <c r="D44">
        <v>9.8019999999999996</v>
      </c>
      <c r="F44">
        <f t="shared" si="0"/>
        <v>9742</v>
      </c>
      <c r="G44">
        <f t="shared" si="1"/>
        <v>9.9031405036814135</v>
      </c>
    </row>
    <row r="45" spans="3:7">
      <c r="C45">
        <v>88</v>
      </c>
      <c r="D45">
        <v>9.8350000000000009</v>
      </c>
      <c r="F45">
        <f t="shared" si="0"/>
        <v>9775</v>
      </c>
      <c r="G45">
        <f t="shared" si="1"/>
        <v>9.8221872379727984</v>
      </c>
    </row>
    <row r="46" spans="3:7">
      <c r="C46">
        <v>90</v>
      </c>
      <c r="D46">
        <v>9.8550000000000004</v>
      </c>
      <c r="F46">
        <f t="shared" si="0"/>
        <v>9795</v>
      </c>
      <c r="G46">
        <f t="shared" si="1"/>
        <v>9.7732771513807961</v>
      </c>
    </row>
    <row r="47" spans="3:7">
      <c r="C47">
        <v>92</v>
      </c>
      <c r="D47">
        <v>9.8580000000000005</v>
      </c>
      <c r="F47">
        <f t="shared" si="0"/>
        <v>9798</v>
      </c>
      <c r="G47">
        <f t="shared" si="1"/>
        <v>9.7659505243459535</v>
      </c>
    </row>
    <row r="48" spans="3:7">
      <c r="C48">
        <v>94</v>
      </c>
      <c r="D48">
        <v>9.8569999999999993</v>
      </c>
      <c r="F48">
        <f t="shared" si="0"/>
        <v>9797</v>
      </c>
      <c r="G48">
        <f t="shared" si="1"/>
        <v>9.7683924472712533</v>
      </c>
    </row>
    <row r="49" spans="3:7">
      <c r="C49">
        <v>96</v>
      </c>
      <c r="D49">
        <v>9.8580000000000005</v>
      </c>
      <c r="F49">
        <f t="shared" si="0"/>
        <v>9798</v>
      </c>
      <c r="G49">
        <f t="shared" si="1"/>
        <v>9.7659505243459535</v>
      </c>
    </row>
    <row r="50" spans="3:7">
      <c r="C50">
        <v>98</v>
      </c>
      <c r="D50">
        <v>9.8580000000000005</v>
      </c>
      <c r="F50">
        <f t="shared" si="0"/>
        <v>9798</v>
      </c>
      <c r="G50">
        <f t="shared" si="1"/>
        <v>9.7659505243459535</v>
      </c>
    </row>
    <row r="51" spans="3:7">
      <c r="C51">
        <v>100</v>
      </c>
      <c r="D51">
        <v>9.8580000000000005</v>
      </c>
      <c r="F51">
        <f t="shared" si="0"/>
        <v>9798</v>
      </c>
      <c r="G51">
        <f t="shared" si="1"/>
        <v>9.7659505243459535</v>
      </c>
    </row>
    <row r="52" spans="3:7">
      <c r="C52">
        <v>102</v>
      </c>
      <c r="D52">
        <v>9.859</v>
      </c>
      <c r="F52">
        <f t="shared" si="0"/>
        <v>9799</v>
      </c>
      <c r="G52">
        <f t="shared" si="1"/>
        <v>9.7635088874229723</v>
      </c>
    </row>
    <row r="53" spans="3:7">
      <c r="C53">
        <v>104</v>
      </c>
      <c r="D53">
        <v>9.8580000000000005</v>
      </c>
      <c r="F53">
        <f t="shared" si="0"/>
        <v>9798</v>
      </c>
      <c r="G53">
        <f t="shared" si="1"/>
        <v>9.7659505243459535</v>
      </c>
    </row>
    <row r="54" spans="3:7">
      <c r="C54">
        <v>106</v>
      </c>
      <c r="D54">
        <v>9.8580000000000005</v>
      </c>
      <c r="F54">
        <f t="shared" si="0"/>
        <v>9798</v>
      </c>
      <c r="G54">
        <f t="shared" si="1"/>
        <v>9.7659505243459535</v>
      </c>
    </row>
    <row r="55" spans="3:7">
      <c r="C55">
        <v>108</v>
      </c>
      <c r="D55">
        <v>9.8569999999999993</v>
      </c>
      <c r="F55">
        <f t="shared" si="0"/>
        <v>9797</v>
      </c>
      <c r="G55">
        <f t="shared" si="1"/>
        <v>9.7683924472712533</v>
      </c>
    </row>
    <row r="56" spans="3:7">
      <c r="C56">
        <v>110</v>
      </c>
      <c r="D56">
        <v>9.8550000000000004</v>
      </c>
      <c r="F56">
        <f t="shared" si="0"/>
        <v>9795</v>
      </c>
      <c r="G56">
        <f t="shared" si="1"/>
        <v>9.7732771513807961</v>
      </c>
    </row>
    <row r="57" spans="3:7">
      <c r="C57">
        <v>112</v>
      </c>
      <c r="D57">
        <v>9.8580000000000005</v>
      </c>
      <c r="F57">
        <f t="shared" si="0"/>
        <v>9798</v>
      </c>
      <c r="G57">
        <f t="shared" si="1"/>
        <v>9.7659505243459535</v>
      </c>
    </row>
    <row r="58" spans="3:7">
      <c r="C58">
        <v>114</v>
      </c>
      <c r="D58">
        <v>9.859</v>
      </c>
      <c r="F58">
        <f t="shared" si="0"/>
        <v>9799</v>
      </c>
      <c r="G58">
        <f t="shared" si="1"/>
        <v>9.7635088874229723</v>
      </c>
    </row>
    <row r="59" spans="3:7">
      <c r="C59">
        <v>116</v>
      </c>
      <c r="D59">
        <v>9.8640000000000008</v>
      </c>
      <c r="F59">
        <f t="shared" si="0"/>
        <v>9804</v>
      </c>
      <c r="G59">
        <f t="shared" si="1"/>
        <v>9.7513049906381752</v>
      </c>
    </row>
    <row r="60" spans="3:7">
      <c r="C60">
        <v>118</v>
      </c>
      <c r="D60">
        <v>9.8640000000000008</v>
      </c>
      <c r="F60">
        <f t="shared" si="0"/>
        <v>9804</v>
      </c>
      <c r="G60">
        <f t="shared" si="1"/>
        <v>9.7513049906381752</v>
      </c>
    </row>
    <row r="61" spans="3:7">
      <c r="C61">
        <v>120</v>
      </c>
      <c r="D61">
        <v>9.8629999999999995</v>
      </c>
      <c r="F61">
        <f t="shared" si="0"/>
        <v>9803</v>
      </c>
      <c r="G61">
        <f t="shared" si="1"/>
        <v>9.7537451984942436</v>
      </c>
    </row>
  </sheetData>
  <phoneticPr fontId="1"/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435F7-2B16-4BCB-AAB6-6311F7BDD80C}">
  <dimension ref="C2:G80"/>
  <sheetViews>
    <sheetView tabSelected="1" workbookViewId="0">
      <selection activeCell="G8" sqref="G8"/>
    </sheetView>
  </sheetViews>
  <sheetFormatPr baseColWidth="10" defaultColWidth="8.83203125" defaultRowHeight="18"/>
  <cols>
    <col min="4" max="4" width="25.83203125" customWidth="1"/>
    <col min="5" max="5" width="10.5" customWidth="1"/>
  </cols>
  <sheetData>
    <row r="2" spans="3:7">
      <c r="C2" t="s">
        <v>0</v>
      </c>
      <c r="E2">
        <v>60</v>
      </c>
    </row>
    <row r="3" spans="3:7">
      <c r="C3" t="s">
        <v>1</v>
      </c>
    </row>
    <row r="4" spans="3:7">
      <c r="C4" t="s">
        <v>2</v>
      </c>
      <c r="E4" s="1">
        <v>9.6865999999999999E-4</v>
      </c>
      <c r="F4" s="1"/>
      <c r="G4">
        <v>2.8565700000000001E-3</v>
      </c>
    </row>
    <row r="5" spans="3:7">
      <c r="C5" t="s">
        <v>3</v>
      </c>
      <c r="E5" s="1">
        <v>2.6937E-4</v>
      </c>
      <c r="F5" s="1"/>
      <c r="G5">
        <v>2.90179E-4</v>
      </c>
    </row>
    <row r="6" spans="3:7">
      <c r="C6" t="s">
        <v>4</v>
      </c>
      <c r="E6" s="2">
        <v>1.1656000000000001E-7</v>
      </c>
      <c r="F6" s="2"/>
      <c r="G6">
        <v>5.6804000000000005E-7</v>
      </c>
    </row>
    <row r="7" spans="3:7">
      <c r="E7" t="s">
        <v>5</v>
      </c>
      <c r="G7" t="s">
        <v>6</v>
      </c>
    </row>
    <row r="9" spans="3:7">
      <c r="C9" t="s">
        <v>7</v>
      </c>
      <c r="D9" t="s">
        <v>8</v>
      </c>
      <c r="E9">
        <v>1</v>
      </c>
    </row>
    <row r="10" spans="3:7">
      <c r="C10" t="s">
        <v>9</v>
      </c>
      <c r="D10" t="s">
        <v>10</v>
      </c>
      <c r="E10">
        <v>1.5</v>
      </c>
    </row>
    <row r="11" spans="3:7">
      <c r="C11" t="s">
        <v>11</v>
      </c>
      <c r="D11" t="s">
        <v>12</v>
      </c>
      <c r="E11">
        <f>E10-E9</f>
        <v>0.5</v>
      </c>
    </row>
    <row r="15" spans="3:7">
      <c r="C15" t="s">
        <v>15</v>
      </c>
      <c r="D15" t="s">
        <v>14</v>
      </c>
      <c r="F15" t="s">
        <v>16</v>
      </c>
      <c r="G15" t="s">
        <v>13</v>
      </c>
    </row>
    <row r="16" spans="3:7">
      <c r="C16">
        <v>6</v>
      </c>
      <c r="D16">
        <v>6.3159999999999998</v>
      </c>
      <c r="F16">
        <f>D16*1000-$E$2</f>
        <v>6256</v>
      </c>
      <c r="G16">
        <f>1/($E$4+$E$5*LN(F16)+$E$6*LN(F16)^3)-273.15</f>
        <v>20.867656340315648</v>
      </c>
    </row>
    <row r="17" spans="3:7">
      <c r="C17">
        <f>C16+1</f>
        <v>7</v>
      </c>
      <c r="D17">
        <v>6.3019999999999996</v>
      </c>
      <c r="F17">
        <f>D17*1000-$E$2</f>
        <v>6242</v>
      </c>
      <c r="G17">
        <f t="shared" ref="G17:G80" si="0">1/($E$4+$E$5*LN(F17)+$E$6*LN(F17)^3)-273.15</f>
        <v>20.925010069253801</v>
      </c>
    </row>
    <row r="18" spans="3:7">
      <c r="C18">
        <f t="shared" ref="C18:C59" si="1">C17+1</f>
        <v>8</v>
      </c>
      <c r="D18">
        <v>6.282</v>
      </c>
      <c r="F18">
        <f t="shared" ref="F18:F80" si="2">D18*1000-$E$2</f>
        <v>6222</v>
      </c>
      <c r="G18">
        <f t="shared" si="0"/>
        <v>21.007201878021874</v>
      </c>
    </row>
    <row r="19" spans="3:7">
      <c r="C19">
        <f t="shared" si="1"/>
        <v>9</v>
      </c>
      <c r="D19">
        <v>6.2430000000000003</v>
      </c>
      <c r="F19">
        <f t="shared" si="2"/>
        <v>6183</v>
      </c>
      <c r="G19">
        <f t="shared" si="0"/>
        <v>21.16835605053501</v>
      </c>
    </row>
    <row r="20" spans="3:7">
      <c r="C20">
        <f t="shared" si="1"/>
        <v>10</v>
      </c>
      <c r="D20">
        <v>6.2039999999999997</v>
      </c>
      <c r="F20">
        <f t="shared" si="2"/>
        <v>6144</v>
      </c>
      <c r="G20">
        <f t="shared" si="0"/>
        <v>21.330687168545921</v>
      </c>
    </row>
    <row r="21" spans="3:7">
      <c r="C21">
        <f t="shared" si="1"/>
        <v>11</v>
      </c>
      <c r="D21">
        <v>6.1580000000000004</v>
      </c>
      <c r="F21">
        <f t="shared" si="2"/>
        <v>6098</v>
      </c>
      <c r="G21">
        <f t="shared" si="0"/>
        <v>21.523689554049668</v>
      </c>
    </row>
    <row r="22" spans="3:7">
      <c r="C22">
        <f t="shared" si="1"/>
        <v>12</v>
      </c>
      <c r="D22">
        <v>6.0960000000000001</v>
      </c>
      <c r="F22">
        <f t="shared" si="2"/>
        <v>6036</v>
      </c>
      <c r="G22">
        <f t="shared" si="0"/>
        <v>21.786497833566955</v>
      </c>
    </row>
    <row r="23" spans="3:7">
      <c r="C23">
        <f t="shared" si="1"/>
        <v>13</v>
      </c>
      <c r="D23">
        <v>6.0339999999999998</v>
      </c>
      <c r="F23">
        <f t="shared" si="2"/>
        <v>5974</v>
      </c>
      <c r="G23">
        <f t="shared" si="0"/>
        <v>22.052439807872474</v>
      </c>
    </row>
    <row r="24" spans="3:7">
      <c r="C24">
        <f t="shared" si="1"/>
        <v>14</v>
      </c>
      <c r="D24">
        <v>5.9470000000000001</v>
      </c>
      <c r="F24">
        <f t="shared" si="2"/>
        <v>5887</v>
      </c>
      <c r="G24">
        <f t="shared" si="0"/>
        <v>22.431036287074903</v>
      </c>
    </row>
    <row r="25" spans="3:7">
      <c r="C25">
        <f t="shared" si="1"/>
        <v>15</v>
      </c>
      <c r="D25">
        <v>5.88</v>
      </c>
      <c r="F25">
        <f t="shared" si="2"/>
        <v>5820</v>
      </c>
      <c r="G25">
        <f t="shared" si="0"/>
        <v>22.727028054549805</v>
      </c>
    </row>
    <row r="26" spans="3:7">
      <c r="C26">
        <f t="shared" si="1"/>
        <v>16</v>
      </c>
      <c r="D26">
        <v>5.8109999999999999</v>
      </c>
      <c r="F26">
        <f t="shared" si="2"/>
        <v>5751</v>
      </c>
      <c r="G26">
        <f t="shared" si="0"/>
        <v>23.035995645919456</v>
      </c>
    </row>
    <row r="27" spans="3:7">
      <c r="C27">
        <f t="shared" si="1"/>
        <v>17</v>
      </c>
      <c r="D27">
        <v>5.7460000000000004</v>
      </c>
      <c r="F27">
        <f t="shared" si="2"/>
        <v>5686</v>
      </c>
      <c r="G27">
        <f t="shared" si="0"/>
        <v>23.330992573748006</v>
      </c>
    </row>
    <row r="28" spans="3:7">
      <c r="C28">
        <f t="shared" si="1"/>
        <v>18</v>
      </c>
      <c r="D28">
        <v>5.665</v>
      </c>
      <c r="F28">
        <f t="shared" si="2"/>
        <v>5605</v>
      </c>
      <c r="G28">
        <f t="shared" si="0"/>
        <v>23.704101754223984</v>
      </c>
    </row>
    <row r="29" spans="3:7">
      <c r="C29">
        <f t="shared" si="1"/>
        <v>19</v>
      </c>
      <c r="D29">
        <v>5.585</v>
      </c>
      <c r="F29">
        <f t="shared" si="2"/>
        <v>5525</v>
      </c>
      <c r="G29">
        <f t="shared" si="0"/>
        <v>24.078768123748148</v>
      </c>
    </row>
    <row r="30" spans="3:7">
      <c r="C30">
        <f t="shared" si="1"/>
        <v>20</v>
      </c>
      <c r="D30">
        <v>5.5179999999999998</v>
      </c>
      <c r="F30">
        <f t="shared" si="2"/>
        <v>5458</v>
      </c>
      <c r="G30">
        <f t="shared" si="0"/>
        <v>24.397405679310111</v>
      </c>
    </row>
    <row r="31" spans="3:7">
      <c r="C31">
        <f t="shared" si="1"/>
        <v>21</v>
      </c>
      <c r="D31">
        <v>5.4809999999999999</v>
      </c>
      <c r="F31">
        <f t="shared" si="2"/>
        <v>5421</v>
      </c>
      <c r="G31">
        <f t="shared" si="0"/>
        <v>24.575312655063101</v>
      </c>
    </row>
    <row r="32" spans="3:7">
      <c r="C32">
        <f t="shared" si="1"/>
        <v>22</v>
      </c>
      <c r="D32">
        <v>5.3789999999999996</v>
      </c>
      <c r="F32">
        <f t="shared" si="2"/>
        <v>5319</v>
      </c>
      <c r="G32">
        <f t="shared" si="0"/>
        <v>25.073116892577673</v>
      </c>
    </row>
    <row r="33" spans="3:7">
      <c r="C33">
        <f t="shared" si="1"/>
        <v>23</v>
      </c>
      <c r="D33">
        <v>5.3109999999999999</v>
      </c>
      <c r="F33">
        <f t="shared" si="2"/>
        <v>5251</v>
      </c>
      <c r="G33">
        <f t="shared" si="0"/>
        <v>25.411155580318734</v>
      </c>
    </row>
    <row r="34" spans="3:7">
      <c r="C34">
        <f t="shared" si="1"/>
        <v>24</v>
      </c>
      <c r="D34">
        <v>5.2510000000000003</v>
      </c>
      <c r="F34">
        <f t="shared" si="2"/>
        <v>5191</v>
      </c>
      <c r="G34">
        <f t="shared" si="0"/>
        <v>25.713654073608154</v>
      </c>
    </row>
    <row r="35" spans="3:7">
      <c r="C35">
        <f t="shared" si="1"/>
        <v>25</v>
      </c>
      <c r="D35">
        <v>5.181</v>
      </c>
      <c r="F35">
        <f t="shared" si="2"/>
        <v>5121</v>
      </c>
      <c r="G35">
        <f t="shared" si="0"/>
        <v>26.071719249106593</v>
      </c>
    </row>
    <row r="36" spans="3:7">
      <c r="C36">
        <f t="shared" si="1"/>
        <v>26</v>
      </c>
      <c r="D36">
        <v>5.1070000000000002</v>
      </c>
      <c r="F36">
        <f t="shared" si="2"/>
        <v>5047</v>
      </c>
      <c r="G36">
        <f t="shared" si="0"/>
        <v>26.456451368474916</v>
      </c>
    </row>
    <row r="37" spans="3:7">
      <c r="C37">
        <f t="shared" si="1"/>
        <v>27</v>
      </c>
      <c r="D37">
        <v>5.03</v>
      </c>
      <c r="F37">
        <f t="shared" si="2"/>
        <v>4970</v>
      </c>
      <c r="G37">
        <f t="shared" si="0"/>
        <v>26.863768624695297</v>
      </c>
    </row>
    <row r="38" spans="3:7">
      <c r="C38">
        <f t="shared" si="1"/>
        <v>28</v>
      </c>
      <c r="D38">
        <v>4.968</v>
      </c>
      <c r="F38">
        <f t="shared" si="2"/>
        <v>4908</v>
      </c>
      <c r="G38">
        <f t="shared" si="0"/>
        <v>27.19707937949363</v>
      </c>
    </row>
    <row r="39" spans="3:7">
      <c r="C39">
        <f t="shared" si="1"/>
        <v>29</v>
      </c>
      <c r="D39">
        <v>4.9039999999999999</v>
      </c>
      <c r="F39">
        <f t="shared" si="2"/>
        <v>4844</v>
      </c>
      <c r="G39">
        <f t="shared" si="0"/>
        <v>27.546290342785937</v>
      </c>
    </row>
    <row r="40" spans="3:7">
      <c r="C40">
        <f t="shared" si="1"/>
        <v>30</v>
      </c>
      <c r="D40">
        <v>4.8289999999999997</v>
      </c>
      <c r="F40">
        <f t="shared" si="2"/>
        <v>4769</v>
      </c>
      <c r="G40">
        <f t="shared" si="0"/>
        <v>27.96237911946082</v>
      </c>
    </row>
    <row r="41" spans="3:7">
      <c r="C41">
        <f t="shared" si="1"/>
        <v>31</v>
      </c>
      <c r="D41">
        <v>4.7759999999999998</v>
      </c>
      <c r="F41">
        <f t="shared" si="2"/>
        <v>4716</v>
      </c>
      <c r="G41">
        <f t="shared" si="0"/>
        <v>28.261008106947429</v>
      </c>
    </row>
    <row r="42" spans="3:7">
      <c r="C42">
        <f t="shared" si="1"/>
        <v>32</v>
      </c>
      <c r="D42">
        <v>4.7089999999999996</v>
      </c>
      <c r="F42">
        <f t="shared" si="2"/>
        <v>4649</v>
      </c>
      <c r="G42">
        <f t="shared" si="0"/>
        <v>28.644127664634198</v>
      </c>
    </row>
    <row r="43" spans="3:7">
      <c r="C43">
        <f t="shared" si="1"/>
        <v>33</v>
      </c>
      <c r="D43">
        <v>4.641</v>
      </c>
      <c r="F43">
        <f t="shared" si="2"/>
        <v>4581</v>
      </c>
      <c r="G43">
        <f t="shared" si="0"/>
        <v>29.039556877815357</v>
      </c>
    </row>
    <row r="44" spans="3:7">
      <c r="C44">
        <f t="shared" si="1"/>
        <v>34</v>
      </c>
      <c r="D44">
        <v>4.5640000000000001</v>
      </c>
      <c r="F44">
        <f t="shared" si="2"/>
        <v>4504</v>
      </c>
      <c r="G44">
        <f t="shared" si="0"/>
        <v>29.49561018510235</v>
      </c>
    </row>
    <row r="45" spans="3:7">
      <c r="C45">
        <f t="shared" si="1"/>
        <v>35</v>
      </c>
      <c r="D45">
        <v>4.4950000000000001</v>
      </c>
      <c r="F45">
        <f t="shared" si="2"/>
        <v>4435</v>
      </c>
      <c r="G45">
        <f t="shared" si="0"/>
        <v>29.912018654357894</v>
      </c>
    </row>
    <row r="46" spans="3:7">
      <c r="C46">
        <f t="shared" si="1"/>
        <v>36</v>
      </c>
      <c r="D46">
        <v>4.431</v>
      </c>
      <c r="F46">
        <f t="shared" si="2"/>
        <v>4371</v>
      </c>
      <c r="G46">
        <f t="shared" si="0"/>
        <v>30.305016029336798</v>
      </c>
    </row>
    <row r="47" spans="3:7">
      <c r="C47">
        <f t="shared" si="1"/>
        <v>37</v>
      </c>
      <c r="D47">
        <v>4.383</v>
      </c>
      <c r="F47">
        <f t="shared" si="2"/>
        <v>4323</v>
      </c>
      <c r="G47">
        <f t="shared" si="0"/>
        <v>30.604164415096022</v>
      </c>
    </row>
    <row r="48" spans="3:7">
      <c r="C48">
        <f t="shared" si="1"/>
        <v>38</v>
      </c>
      <c r="D48">
        <v>4.3390000000000004</v>
      </c>
      <c r="F48">
        <f t="shared" si="2"/>
        <v>4279</v>
      </c>
      <c r="G48">
        <f t="shared" si="0"/>
        <v>30.881784135162434</v>
      </c>
    </row>
    <row r="49" spans="3:7">
      <c r="C49">
        <f t="shared" si="1"/>
        <v>39</v>
      </c>
      <c r="D49">
        <v>4.2960000000000003</v>
      </c>
      <c r="F49">
        <f t="shared" si="2"/>
        <v>4236</v>
      </c>
      <c r="G49">
        <f t="shared" si="0"/>
        <v>31.156308967039479</v>
      </c>
    </row>
    <row r="50" spans="3:7">
      <c r="C50">
        <f t="shared" si="1"/>
        <v>40</v>
      </c>
      <c r="D50">
        <v>4.2480000000000002</v>
      </c>
      <c r="F50">
        <f t="shared" si="2"/>
        <v>4188</v>
      </c>
      <c r="G50">
        <f t="shared" si="0"/>
        <v>31.466595901134326</v>
      </c>
    </row>
    <row r="51" spans="3:7">
      <c r="C51">
        <f t="shared" si="1"/>
        <v>41</v>
      </c>
      <c r="D51">
        <v>4.1859999999999999</v>
      </c>
      <c r="F51">
        <f t="shared" si="2"/>
        <v>4126</v>
      </c>
      <c r="G51">
        <f t="shared" si="0"/>
        <v>31.873539833507778</v>
      </c>
    </row>
    <row r="52" spans="3:7">
      <c r="C52">
        <f t="shared" si="1"/>
        <v>42</v>
      </c>
      <c r="D52">
        <v>4.1230000000000002</v>
      </c>
      <c r="F52">
        <f t="shared" si="2"/>
        <v>4063</v>
      </c>
      <c r="G52">
        <f t="shared" si="0"/>
        <v>32.294374197399463</v>
      </c>
    </row>
    <row r="53" spans="3:7">
      <c r="C53">
        <f t="shared" si="1"/>
        <v>43</v>
      </c>
      <c r="D53">
        <v>4.0549999999999997</v>
      </c>
      <c r="F53">
        <f t="shared" si="2"/>
        <v>3994.9999999999995</v>
      </c>
      <c r="G53">
        <f t="shared" si="0"/>
        <v>32.757183964105764</v>
      </c>
    </row>
    <row r="54" spans="3:7">
      <c r="C54">
        <f t="shared" si="1"/>
        <v>44</v>
      </c>
      <c r="D54">
        <v>3.9969999999999999</v>
      </c>
      <c r="F54">
        <f t="shared" si="2"/>
        <v>3937</v>
      </c>
      <c r="G54">
        <f t="shared" si="0"/>
        <v>33.159211952549526</v>
      </c>
    </row>
    <row r="55" spans="3:7">
      <c r="C55">
        <f t="shared" si="1"/>
        <v>45</v>
      </c>
      <c r="D55">
        <v>3.9329999999999998</v>
      </c>
      <c r="F55">
        <f t="shared" si="2"/>
        <v>3873</v>
      </c>
      <c r="G55">
        <f t="shared" si="0"/>
        <v>33.610879938983032</v>
      </c>
    </row>
    <row r="56" spans="3:7">
      <c r="C56">
        <f t="shared" si="1"/>
        <v>46</v>
      </c>
      <c r="D56">
        <v>3.8820000000000001</v>
      </c>
      <c r="F56">
        <f t="shared" si="2"/>
        <v>3822</v>
      </c>
      <c r="G56">
        <f t="shared" si="0"/>
        <v>33.977047367064756</v>
      </c>
    </row>
    <row r="57" spans="3:7">
      <c r="C57">
        <f t="shared" si="1"/>
        <v>47</v>
      </c>
      <c r="D57">
        <v>3.8239999999999998</v>
      </c>
      <c r="F57">
        <f t="shared" si="2"/>
        <v>3764</v>
      </c>
      <c r="G57">
        <f t="shared" si="0"/>
        <v>34.400426846641039</v>
      </c>
    </row>
    <row r="58" spans="3:7">
      <c r="C58">
        <f t="shared" si="1"/>
        <v>48</v>
      </c>
      <c r="D58">
        <v>3.7759999999999998</v>
      </c>
      <c r="F58">
        <f t="shared" si="2"/>
        <v>3716</v>
      </c>
      <c r="G58">
        <f t="shared" si="0"/>
        <v>34.756576630005839</v>
      </c>
    </row>
    <row r="59" spans="3:7">
      <c r="C59">
        <f t="shared" si="1"/>
        <v>49</v>
      </c>
      <c r="D59">
        <v>3.7229999999999999</v>
      </c>
      <c r="F59">
        <f t="shared" si="2"/>
        <v>3663</v>
      </c>
      <c r="G59">
        <f t="shared" si="0"/>
        <v>35.156082151435157</v>
      </c>
    </row>
    <row r="60" spans="3:7">
      <c r="C60">
        <v>50</v>
      </c>
      <c r="D60">
        <v>3.6789999999999998</v>
      </c>
      <c r="F60">
        <f t="shared" si="2"/>
        <v>3619</v>
      </c>
      <c r="G60">
        <f t="shared" si="0"/>
        <v>35.492879762978873</v>
      </c>
    </row>
    <row r="61" spans="3:7">
      <c r="C61">
        <v>51</v>
      </c>
      <c r="D61">
        <v>3.633</v>
      </c>
      <c r="F61">
        <f t="shared" si="2"/>
        <v>3573</v>
      </c>
      <c r="G61">
        <f t="shared" si="0"/>
        <v>35.850108696140978</v>
      </c>
    </row>
    <row r="62" spans="3:7">
      <c r="C62">
        <v>52</v>
      </c>
      <c r="D62">
        <v>3.5710000000000002</v>
      </c>
      <c r="F62">
        <f t="shared" si="2"/>
        <v>3511</v>
      </c>
      <c r="G62">
        <f t="shared" si="0"/>
        <v>36.340134306211041</v>
      </c>
    </row>
    <row r="63" spans="3:7">
      <c r="C63">
        <v>53</v>
      </c>
      <c r="D63">
        <v>3.5249999999999999</v>
      </c>
      <c r="F63">
        <f t="shared" si="2"/>
        <v>3465</v>
      </c>
      <c r="G63">
        <f t="shared" si="0"/>
        <v>36.710243093211716</v>
      </c>
    </row>
    <row r="64" spans="3:7">
      <c r="C64">
        <v>54</v>
      </c>
      <c r="D64">
        <v>3.49</v>
      </c>
      <c r="F64">
        <f t="shared" si="2"/>
        <v>3430</v>
      </c>
      <c r="G64">
        <f t="shared" si="0"/>
        <v>36.995692696106744</v>
      </c>
    </row>
    <row r="65" spans="3:7">
      <c r="C65">
        <v>55</v>
      </c>
      <c r="D65">
        <v>3.4510000000000001</v>
      </c>
      <c r="F65">
        <f t="shared" si="2"/>
        <v>3391</v>
      </c>
      <c r="G65">
        <f t="shared" si="0"/>
        <v>37.317779317594159</v>
      </c>
    </row>
    <row r="66" spans="3:7">
      <c r="C66">
        <v>56</v>
      </c>
      <c r="D66">
        <v>3.403</v>
      </c>
      <c r="F66">
        <f t="shared" si="2"/>
        <v>3343</v>
      </c>
      <c r="G66">
        <f t="shared" si="0"/>
        <v>37.720154997826739</v>
      </c>
    </row>
    <row r="67" spans="3:7">
      <c r="C67">
        <v>57</v>
      </c>
      <c r="D67">
        <v>3.36</v>
      </c>
      <c r="F67">
        <f t="shared" si="2"/>
        <v>3300</v>
      </c>
      <c r="G67">
        <f t="shared" si="0"/>
        <v>38.086361165116159</v>
      </c>
    </row>
    <row r="68" spans="3:7">
      <c r="C68">
        <v>58</v>
      </c>
      <c r="D68">
        <v>3.3050000000000002</v>
      </c>
      <c r="F68">
        <f t="shared" si="2"/>
        <v>3245</v>
      </c>
      <c r="G68">
        <f t="shared" si="0"/>
        <v>38.562933940329344</v>
      </c>
    </row>
    <row r="69" spans="3:7">
      <c r="C69">
        <v>59</v>
      </c>
      <c r="D69">
        <v>3.3</v>
      </c>
      <c r="F69">
        <f t="shared" si="2"/>
        <v>3240</v>
      </c>
      <c r="G69">
        <f t="shared" si="0"/>
        <v>38.606723889383716</v>
      </c>
    </row>
    <row r="70" spans="3:7">
      <c r="C70">
        <v>60</v>
      </c>
      <c r="D70">
        <v>3.2909999999999999</v>
      </c>
      <c r="F70">
        <f t="shared" si="2"/>
        <v>3231</v>
      </c>
      <c r="G70">
        <f t="shared" si="0"/>
        <v>38.685744181199993</v>
      </c>
    </row>
    <row r="71" spans="3:7">
      <c r="C71">
        <v>61</v>
      </c>
      <c r="D71">
        <v>3.2810000000000001</v>
      </c>
      <c r="F71">
        <f t="shared" si="2"/>
        <v>3221</v>
      </c>
      <c r="G71">
        <f t="shared" si="0"/>
        <v>38.773845270032666</v>
      </c>
    </row>
    <row r="72" spans="3:7">
      <c r="C72">
        <v>62</v>
      </c>
      <c r="D72">
        <v>3.2730000000000001</v>
      </c>
      <c r="F72">
        <f t="shared" si="2"/>
        <v>3213</v>
      </c>
      <c r="G72">
        <f t="shared" si="0"/>
        <v>38.844555476769301</v>
      </c>
    </row>
    <row r="73" spans="3:7">
      <c r="C73">
        <v>63</v>
      </c>
      <c r="D73">
        <v>3.2639999999999998</v>
      </c>
      <c r="F73">
        <f t="shared" si="2"/>
        <v>3204</v>
      </c>
      <c r="G73">
        <f t="shared" si="0"/>
        <v>38.924349616174254</v>
      </c>
    </row>
    <row r="74" spans="3:7">
      <c r="C74">
        <v>64</v>
      </c>
      <c r="D74">
        <v>3.254</v>
      </c>
      <c r="F74">
        <f t="shared" si="2"/>
        <v>3194</v>
      </c>
      <c r="G74">
        <f t="shared" si="0"/>
        <v>39.01331607864222</v>
      </c>
    </row>
    <row r="75" spans="3:7">
      <c r="C75">
        <v>65</v>
      </c>
      <c r="D75">
        <v>3.2429999999999999</v>
      </c>
      <c r="F75">
        <f t="shared" si="2"/>
        <v>3183</v>
      </c>
      <c r="G75">
        <f t="shared" si="0"/>
        <v>39.111554135435142</v>
      </c>
    </row>
    <row r="76" spans="3:7">
      <c r="C76">
        <v>66</v>
      </c>
      <c r="D76">
        <v>3.23</v>
      </c>
      <c r="F76">
        <f t="shared" si="2"/>
        <v>3170</v>
      </c>
      <c r="G76">
        <f t="shared" si="0"/>
        <v>39.228164014419747</v>
      </c>
    </row>
    <row r="77" spans="3:7">
      <c r="C77">
        <v>67</v>
      </c>
      <c r="D77">
        <v>3.2189999999999999</v>
      </c>
      <c r="F77">
        <f t="shared" si="2"/>
        <v>3159</v>
      </c>
      <c r="G77">
        <f t="shared" si="0"/>
        <v>39.327269218253207</v>
      </c>
    </row>
    <row r="78" spans="3:7">
      <c r="C78">
        <v>68</v>
      </c>
      <c r="D78">
        <v>3.2069999999999999</v>
      </c>
      <c r="F78">
        <f t="shared" si="2"/>
        <v>3147</v>
      </c>
      <c r="G78">
        <f t="shared" si="0"/>
        <v>39.435842849637652</v>
      </c>
    </row>
    <row r="79" spans="3:7">
      <c r="C79">
        <v>69</v>
      </c>
      <c r="D79">
        <v>3.1970000000000001</v>
      </c>
      <c r="F79">
        <f t="shared" si="2"/>
        <v>3137</v>
      </c>
      <c r="G79">
        <f t="shared" si="0"/>
        <v>39.526689423872426</v>
      </c>
    </row>
    <row r="80" spans="3:7">
      <c r="C80">
        <v>70</v>
      </c>
      <c r="D80">
        <v>3.1840000000000002</v>
      </c>
      <c r="F80">
        <f t="shared" si="2"/>
        <v>3124</v>
      </c>
      <c r="G80">
        <f t="shared" si="0"/>
        <v>39.645294925482517</v>
      </c>
    </row>
  </sheetData>
  <phoneticPr fontId="1"/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河口湖</vt:lpstr>
      <vt:lpstr>函嶺洞門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正高 木下</dc:creator>
  <cp:lastModifiedBy>佐々木　雄志郎</cp:lastModifiedBy>
  <dcterms:created xsi:type="dcterms:W3CDTF">2026-08-27T00:51:21Z</dcterms:created>
  <dcterms:modified xsi:type="dcterms:W3CDTF">2026-09-13T12:24:31Z</dcterms:modified>
</cp:coreProperties>
</file>